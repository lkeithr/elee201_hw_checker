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vecitycollege-my.sharepoint.com/personal/rumbaughlk_gcc_edu/Documents/Documents/Teaching/Linear Circuits/Homework/HW Checker/"/>
    </mc:Choice>
  </mc:AlternateContent>
  <xr:revisionPtr revIDLastSave="51" documentId="8_{DB5B9418-8ABB-46C3-B5E0-9B2F68BAB96D}" xr6:coauthVersionLast="47" xr6:coauthVersionMax="47" xr10:uidLastSave="{7026CEB2-D203-4EA5-851A-3ED4C3C75CD0}"/>
  <bookViews>
    <workbookView xWindow="-110" yWindow="-110" windowWidth="19420" windowHeight="10300" activeTab="3" xr2:uid="{016CC8A0-D84E-482E-B6C9-E87D3311BA45}"/>
  </bookViews>
  <sheets>
    <sheet name="HW2" sheetId="7" r:id="rId1"/>
    <sheet name="HW3" sheetId="3" r:id="rId2"/>
    <sheet name="HW4" sheetId="4" r:id="rId3"/>
    <sheet name="HW5" sheetId="2" r:id="rId4"/>
    <sheet name="HW6" sheetId="1" r:id="rId5"/>
    <sheet name="HW7" sheetId="5" r:id="rId6"/>
    <sheet name="HW8" sheetId="6" r:id="rId7"/>
    <sheet name="HW9" sheetId="8" r:id="rId8"/>
    <sheet name="HW10" sheetId="9" r:id="rId9"/>
    <sheet name="HW11" sheetId="10" r:id="rId10"/>
    <sheet name="HW12" sheetId="11" r:id="rId11"/>
    <sheet name="HW13" sheetId="12" r:id="rId12"/>
    <sheet name="HW14" sheetId="13" r:id="rId13"/>
    <sheet name="HW15" sheetId="14" r:id="rId14"/>
    <sheet name="HW16" sheetId="15" r:id="rId15"/>
    <sheet name="HW17" sheetId="16" r:id="rId16"/>
    <sheet name="HW18" sheetId="17" r:id="rId17"/>
    <sheet name="HW19" sheetId="18" r:id="rId18"/>
    <sheet name="HW20" sheetId="19" r:id="rId19"/>
    <sheet name="HW21" sheetId="20" r:id="rId20"/>
    <sheet name="HW22" sheetId="21" r:id="rId21"/>
    <sheet name="HW23" sheetId="22" r:id="rId22"/>
    <sheet name="HW24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4" i="7" l="1"/>
  <c r="U4" i="7"/>
  <c r="Q4" i="7"/>
  <c r="M4" i="7"/>
  <c r="I4" i="7"/>
  <c r="E4" i="7"/>
  <c r="Y3" i="7"/>
  <c r="U3" i="7"/>
  <c r="Q3" i="7"/>
  <c r="M3" i="7"/>
  <c r="I3" i="7"/>
  <c r="E3" i="7"/>
</calcChain>
</file>

<file path=xl/sharedStrings.xml><?xml version="1.0" encoding="utf-8"?>
<sst xmlns="http://schemas.openxmlformats.org/spreadsheetml/2006/main" count="1154" uniqueCount="273">
  <si>
    <t>Problem</t>
  </si>
  <si>
    <t>Answer 1</t>
  </si>
  <si>
    <t>Name</t>
  </si>
  <si>
    <t>Value</t>
  </si>
  <si>
    <t>Tolerance</t>
  </si>
  <si>
    <t>I</t>
  </si>
  <si>
    <t>P</t>
  </si>
  <si>
    <t>Answer 2</t>
  </si>
  <si>
    <t>Answer 3</t>
  </si>
  <si>
    <t>VR</t>
  </si>
  <si>
    <t>Units</t>
  </si>
  <si>
    <t>A</t>
  </si>
  <si>
    <t>V</t>
  </si>
  <si>
    <t>V1</t>
  </si>
  <si>
    <t>V2</t>
  </si>
  <si>
    <t>W</t>
  </si>
  <si>
    <t>IX</t>
  </si>
  <si>
    <t>I0</t>
  </si>
  <si>
    <t>VX</t>
  </si>
  <si>
    <t>REQ</t>
  </si>
  <si>
    <t>Ω</t>
  </si>
  <si>
    <t>2.40</t>
  </si>
  <si>
    <t>2.49</t>
  </si>
  <si>
    <t>2.50</t>
  </si>
  <si>
    <t>2.58</t>
  </si>
  <si>
    <t>ne</t>
  </si>
  <si>
    <t>x10^18 electrons</t>
  </si>
  <si>
    <t>mC</t>
  </si>
  <si>
    <t>q(t) max</t>
  </si>
  <si>
    <t>mA</t>
  </si>
  <si>
    <t>i(t) max</t>
  </si>
  <si>
    <t>i(t) final</t>
  </si>
  <si>
    <t>q(t=5)</t>
  </si>
  <si>
    <t>q(t) final asymptote</t>
  </si>
  <si>
    <t>i(t=1)</t>
  </si>
  <si>
    <t>i(t=3)</t>
  </si>
  <si>
    <t>i(t=6)</t>
  </si>
  <si>
    <t>IY</t>
  </si>
  <si>
    <t>R</t>
  </si>
  <si>
    <t>Tmax</t>
  </si>
  <si>
    <t>deg C</t>
  </si>
  <si>
    <t>R0</t>
  </si>
  <si>
    <t>R1800</t>
  </si>
  <si>
    <t>R20</t>
  </si>
  <si>
    <t>I1800</t>
  </si>
  <si>
    <t>I20</t>
  </si>
  <si>
    <t>3.27</t>
  </si>
  <si>
    <t>I2</t>
  </si>
  <si>
    <t>I3</t>
  </si>
  <si>
    <t>3.33</t>
  </si>
  <si>
    <t>I1</t>
  </si>
  <si>
    <t>3.37</t>
  </si>
  <si>
    <t>I4</t>
  </si>
  <si>
    <t>3.57</t>
  </si>
  <si>
    <t>VOUT</t>
  </si>
  <si>
    <t>3.66</t>
  </si>
  <si>
    <t>VTH</t>
  </si>
  <si>
    <t>RTH</t>
  </si>
  <si>
    <t>RL</t>
  </si>
  <si>
    <t>3.63</t>
  </si>
  <si>
    <t>VX'</t>
  </si>
  <si>
    <t>VX''</t>
  </si>
  <si>
    <t>VX'''</t>
  </si>
  <si>
    <t>3.71</t>
  </si>
  <si>
    <t>Answer 4</t>
  </si>
  <si>
    <t>Answer 5</t>
  </si>
  <si>
    <t>ISC</t>
  </si>
  <si>
    <t>Answer 6</t>
  </si>
  <si>
    <t>µm</t>
  </si>
  <si>
    <t>µs</t>
  </si>
  <si>
    <t>km</t>
  </si>
  <si>
    <t>m</t>
  </si>
  <si>
    <t>(f)</t>
  </si>
  <si>
    <t>F</t>
  </si>
  <si>
    <t>mm</t>
  </si>
  <si>
    <t>pF</t>
  </si>
  <si>
    <t>MV</t>
  </si>
  <si>
    <t>µA</t>
  </si>
  <si>
    <t>PMAX</t>
  </si>
  <si>
    <t>mW</t>
  </si>
  <si>
    <t>VO</t>
  </si>
  <si>
    <t>VN range</t>
  </si>
  <si>
    <t>≥ 40</t>
  </si>
  <si>
    <t>µV</t>
  </si>
  <si>
    <t>G</t>
  </si>
  <si>
    <t>(Ro + A·Ri)RL / (RoRL + RLRi(1+A) + RoRi)</t>
  </si>
  <si>
    <t>G ideal</t>
  </si>
  <si>
    <t>RF</t>
  </si>
  <si>
    <t>kΩ</t>
  </si>
  <si>
    <t>GI</t>
  </si>
  <si>
    <t>-RF/RL</t>
  </si>
  <si>
    <t>(V1+V2+V3+V4+V5)/5</t>
  </si>
  <si>
    <t>VL</t>
  </si>
  <si>
    <t>7 - 5VS</t>
  </si>
  <si>
    <t>VS min</t>
  </si>
  <si>
    <t>VS max</t>
  </si>
  <si>
    <t>Plots</t>
  </si>
  <si>
    <t>See solution plots (a)-(e)</t>
  </si>
  <si>
    <t>v(t)</t>
  </si>
  <si>
    <t>10u(t-2µs) - 10u(t-7µs)</t>
  </si>
  <si>
    <t>V0</t>
  </si>
  <si>
    <t>tau</t>
  </si>
  <si>
    <t>s</t>
  </si>
  <si>
    <t>(a) i,p,w</t>
  </si>
  <si>
    <t>i=1 mA; p=5 mW (0≤t≤2); w=2.5t² mJ, then 10 mJ</t>
  </si>
  <si>
    <t>(b) i,p,w</t>
  </si>
  <si>
    <t>i=-1 mA; p=(5t-20) mW; w=0.1(20-5t)² mJ (2≤t≤4)</t>
  </si>
  <si>
    <t>(c) i,p,w</t>
  </si>
  <si>
    <t>i=-1.5e^-0.5t mA; p=-22.5e^-t mW; w=22.5e^-t mJ</t>
  </si>
  <si>
    <t>(d) i,p,w</t>
  </si>
  <si>
    <t>i=1.5e^-0.5t mA; p=22.5e^-0.5t(1-e^-0.5t) mW; w=22.5(1-e^-0.5t)² mJ</t>
  </si>
  <si>
    <t>0; 1000t V (0≤t≤2); 2000 V (t&gt;2)</t>
  </si>
  <si>
    <t>p(t)</t>
  </si>
  <si>
    <t>0; 40t W (0≤t≤2); 0 (t&gt;2)</t>
  </si>
  <si>
    <t>w(t)</t>
  </si>
  <si>
    <t>0; 20t² mJ (0≤t≤2); 80 mJ (t&gt;2)</t>
  </si>
  <si>
    <t>i(t)</t>
  </si>
  <si>
    <t>-20t+25t² (0≤t≤2); -25t²+200t-220 (2≤t&lt;3); 5+50t (t≥3)</t>
  </si>
  <si>
    <t>VC</t>
  </si>
  <si>
    <t>IL1</t>
  </si>
  <si>
    <t>IL2</t>
  </si>
  <si>
    <t>VC1</t>
  </si>
  <si>
    <t>VC2</t>
  </si>
  <si>
    <t>Answer 7</t>
  </si>
  <si>
    <t>Answer 8</t>
  </si>
  <si>
    <t>IC(0-)</t>
  </si>
  <si>
    <t>VC(0-)</t>
  </si>
  <si>
    <t>IC(0)</t>
  </si>
  <si>
    <t>VC(0)</t>
  </si>
  <si>
    <t>IC(inf)</t>
  </si>
  <si>
    <t>VC(inf)</t>
  </si>
  <si>
    <t>VC(t)</t>
  </si>
  <si>
    <t>8(1-e^-t/2)</t>
  </si>
  <si>
    <t>IC(t)</t>
  </si>
  <si>
    <t>0.4e^-0.5t</t>
  </si>
  <si>
    <t>Answer 9</t>
  </si>
  <si>
    <t>Answer 10</t>
  </si>
  <si>
    <t>IL(0-)</t>
  </si>
  <si>
    <t>VL(0-)</t>
  </si>
  <si>
    <t>IL(0)</t>
  </si>
  <si>
    <t>VL(0)</t>
  </si>
  <si>
    <t>IL(inf)</t>
  </si>
  <si>
    <t>VL(inf)</t>
  </si>
  <si>
    <t>IL(t)</t>
  </si>
  <si>
    <t>0.4(1-e^-100t)</t>
  </si>
  <si>
    <t>VL(t)</t>
  </si>
  <si>
    <t>8e^-100t</t>
  </si>
  <si>
    <t>0.55(1-e^-t/0.65)</t>
  </si>
  <si>
    <t>VOUT(t)</t>
  </si>
  <si>
    <t>VOUT(0)+VI(t)+(1/RC)∫₀ᵗVI dt</t>
  </si>
  <si>
    <t>24(1-e^-t/2)</t>
  </si>
  <si>
    <t>C</t>
  </si>
  <si>
    <t>mF</t>
  </si>
  <si>
    <t>µF</t>
  </si>
  <si>
    <t>R4</t>
  </si>
  <si>
    <t>R1</t>
  </si>
  <si>
    <t>R2</t>
  </si>
  <si>
    <t>R3</t>
  </si>
  <si>
    <t>Amplitude</t>
  </si>
  <si>
    <t>f</t>
  </si>
  <si>
    <t>GHz</t>
  </si>
  <si>
    <t>Phase</t>
  </si>
  <si>
    <t>deg</t>
  </si>
  <si>
    <t>i(0.1ns)</t>
  </si>
  <si>
    <t>4cos(8π×10³t+45°)</t>
  </si>
  <si>
    <t>kHz</t>
  </si>
  <si>
    <t>T</t>
  </si>
  <si>
    <t>ms</t>
  </si>
  <si>
    <t>Direction</t>
  </si>
  <si>
    <t>backward</t>
  </si>
  <si>
    <t>Delta t</t>
  </si>
  <si>
    <t>z1</t>
  </si>
  <si>
    <t>5∠53.13°</t>
  </si>
  <si>
    <t>z2</t>
  </si>
  <si>
    <t>10∠126.87°</t>
  </si>
  <si>
    <t>z3</t>
  </si>
  <si>
    <t>7.21∠-146.3°</t>
  </si>
  <si>
    <t>z4</t>
  </si>
  <si>
    <t>2∠90°</t>
  </si>
  <si>
    <t>z5</t>
  </si>
  <si>
    <t>z6</t>
  </si>
  <si>
    <t>46.9∠-101.1°</t>
  </si>
  <si>
    <t>z7</t>
  </si>
  <si>
    <t>±1.19∠67.5°</t>
  </si>
  <si>
    <t>5.38∠-89.05°</t>
  </si>
  <si>
    <t>B</t>
  </si>
  <si>
    <t>42.50∠-161.99°</t>
  </si>
  <si>
    <t>D</t>
  </si>
  <si>
    <t>26.83∠-63.43°</t>
  </si>
  <si>
    <t>E</t>
  </si>
  <si>
    <t>j16</t>
  </si>
  <si>
    <t>4∠-30°</t>
  </si>
  <si>
    <t>2∠108°</t>
  </si>
  <si>
    <t>V3</t>
  </si>
  <si>
    <t>1.57∠-155.9°</t>
  </si>
  <si>
    <t>iC(t)</t>
  </si>
  <si>
    <t>9.4cos(2π×10⁴t-21.48°)</t>
  </si>
  <si>
    <t>IS</t>
  </si>
  <si>
    <t>ZL</t>
  </si>
  <si>
    <t>j40</t>
  </si>
  <si>
    <t>ZC</t>
  </si>
  <si>
    <t>-j50</t>
  </si>
  <si>
    <t>116.5∠-22.5°</t>
  </si>
  <si>
    <t>ZTH</t>
  </si>
  <si>
    <t>50-j43.25</t>
  </si>
  <si>
    <t>vTH(t)</t>
  </si>
  <si>
    <t>116.5cos(4×10⁴t-22.5°)</t>
  </si>
  <si>
    <t>iX(t)</t>
  </si>
  <si>
    <t>0.154cos(10⁵t-36°)</t>
  </si>
  <si>
    <t>1.25cos(400t-6.352°)</t>
  </si>
  <si>
    <t>omega0</t>
  </si>
  <si>
    <t>rad/s</t>
  </si>
  <si>
    <t>H</t>
  </si>
  <si>
    <t>ω²RL1C / [R(1-ω²L1C)+jω(L1+L2-ω²L1L2C)]</t>
  </si>
  <si>
    <t>sqrt((L1+L2)/(L1L2C))</t>
  </si>
  <si>
    <t>Q</t>
  </si>
  <si>
    <t>omegaC1</t>
  </si>
  <si>
    <t>omegaC2</t>
  </si>
  <si>
    <t>Double Q?</t>
  </si>
  <si>
    <t>Yes</t>
  </si>
  <si>
    <t>L new</t>
  </si>
  <si>
    <t>mH</t>
  </si>
  <si>
    <t>C new</t>
  </si>
  <si>
    <t>Q new</t>
  </si>
  <si>
    <t>L</t>
  </si>
  <si>
    <t>4.2</t>
  </si>
  <si>
    <t>4.3</t>
  </si>
  <si>
    <t>4.7</t>
  </si>
  <si>
    <t>4.9</t>
  </si>
  <si>
    <t>4.14</t>
  </si>
  <si>
    <t>4.24</t>
  </si>
  <si>
    <t>4.27</t>
  </si>
  <si>
    <t>4.28</t>
  </si>
  <si>
    <t>5.1</t>
  </si>
  <si>
    <t>5.3</t>
  </si>
  <si>
    <t>5.7</t>
  </si>
  <si>
    <t>5.9</t>
  </si>
  <si>
    <t>5.12</t>
  </si>
  <si>
    <t>5.15</t>
  </si>
  <si>
    <t>5.27</t>
  </si>
  <si>
    <t>5.28</t>
  </si>
  <si>
    <t>5.29</t>
  </si>
  <si>
    <t>5.33</t>
  </si>
  <si>
    <t>5.37</t>
  </si>
  <si>
    <t>5.46</t>
  </si>
  <si>
    <t>5.51</t>
  </si>
  <si>
    <t>5.60</t>
  </si>
  <si>
    <t>5.64</t>
  </si>
  <si>
    <t>5.66</t>
  </si>
  <si>
    <t>5.69</t>
  </si>
  <si>
    <t>5.70</t>
  </si>
  <si>
    <t>7.1</t>
  </si>
  <si>
    <t>7.2</t>
  </si>
  <si>
    <t>7.6</t>
  </si>
  <si>
    <t>7.10</t>
  </si>
  <si>
    <t>7.18</t>
  </si>
  <si>
    <t>7.21</t>
  </si>
  <si>
    <t>7.29</t>
  </si>
  <si>
    <t>7.46</t>
  </si>
  <si>
    <t>7.48</t>
  </si>
  <si>
    <t>7.57</t>
  </si>
  <si>
    <t>7.58</t>
  </si>
  <si>
    <t>9.1</t>
  </si>
  <si>
    <t>9.2</t>
  </si>
  <si>
    <t>9.6</t>
  </si>
  <si>
    <t>9.26</t>
  </si>
  <si>
    <t>9.29</t>
  </si>
  <si>
    <t>9.30</t>
  </si>
  <si>
    <t>a)</t>
  </si>
  <si>
    <t>b)</t>
  </si>
  <si>
    <t>c)</t>
  </si>
  <si>
    <t>d)</t>
  </si>
  <si>
    <t xml:space="preserve">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</si>
</sst>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############E+0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medium">
        <color rgb="FF1F1F1F"/>
      </left>
      <right style="thin">
        <color rgb="FFD9D9D9"/>
      </right>
      <top style="medium">
        <color rgb="FF1F1F1F"/>
      </top>
      <bottom/>
      <diagonal/>
    </border>
    <border>
      <left style="thin">
        <color rgb="FFD9D9D9"/>
      </left>
      <right style="thin">
        <color rgb="FFD9D9D9"/>
      </right>
      <top style="medium">
        <color rgb="FF1F1F1F"/>
      </top>
      <bottom/>
      <diagonal/>
    </border>
    <border>
      <left style="thin">
        <color rgb="FFD9D9D9"/>
      </left>
      <right/>
      <top style="medium">
        <color rgb="FF1F1F1F"/>
      </top>
      <bottom/>
      <diagonal/>
    </border>
    <border>
      <left style="medium">
        <color rgb="FF1F1F1F"/>
      </left>
      <right style="thin">
        <color rgb="FFD9D9D9"/>
      </right>
      <top/>
      <bottom style="medium">
        <color rgb="FF1F1F1F"/>
      </bottom>
      <diagonal/>
    </border>
    <border>
      <left style="thin">
        <color rgb="FFD9D9D9"/>
      </left>
      <right style="thin">
        <color rgb="FFD9D9D9"/>
      </right>
      <top/>
      <bottom style="medium">
        <color rgb="FF1F1F1F"/>
      </bottom>
      <diagonal/>
    </border>
    <border>
      <left style="thin">
        <color rgb="FFD9D9D9"/>
      </left>
      <right/>
      <top/>
      <bottom style="medium">
        <color rgb="FF1F1F1F"/>
      </bottom>
      <diagonal/>
    </border>
    <border>
      <left/>
      <right style="thin">
        <color rgb="FFD9D9D9"/>
      </right>
      <top style="medium">
        <color rgb="FF1F1F1F"/>
      </top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medium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D9D9D9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/>
      <diagonal/>
    </border>
    <border>
      <left style="thin">
        <color indexed="64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 style="thin">
        <color rgb="FFD9D9D9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D9D9D9"/>
      </top>
      <bottom/>
      <diagonal/>
    </border>
    <border>
      <left style="thin">
        <color rgb="FFD9D9D9"/>
      </left>
      <right style="medium">
        <color indexed="64"/>
      </right>
      <top style="thin">
        <color rgb="FFD9D9D9"/>
      </top>
      <bottom/>
      <diagonal/>
    </border>
    <border>
      <left style="medium">
        <color indexed="64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 style="medium">
        <color indexed="64"/>
      </bottom>
      <diagonal/>
    </border>
    <border>
      <left style="thin">
        <color rgb="FFD9D9D9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D9D9D9"/>
      </bottom>
      <diagonal/>
    </border>
    <border>
      <left/>
      <right/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2" fillId="0" borderId="1" xfId="0" applyFont="1" applyBorder="1"/>
    <xf numFmtId="49" fontId="0" fillId="0" borderId="11" xfId="0" applyNumberFormat="1" applyBorder="1"/>
    <xf numFmtId="49" fontId="0" fillId="0" borderId="11" xfId="0" quotePrefix="1" applyNumberFormat="1" applyBorder="1"/>
    <xf numFmtId="49" fontId="0" fillId="0" borderId="12" xfId="0" applyNumberFormat="1" applyBorder="1"/>
    <xf numFmtId="0" fontId="2" fillId="0" borderId="8" xfId="0" applyFont="1" applyBorder="1"/>
    <xf numFmtId="49" fontId="0" fillId="0" borderId="12" xfId="0" quotePrefix="1" applyNumberFormat="1" applyBorder="1"/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165" fontId="0" fillId="0" borderId="16" xfId="0" applyNumberFormat="1" applyBorder="1" applyAlignment="1">
      <alignment wrapText="1"/>
    </xf>
    <xf numFmtId="0" fontId="1" fillId="0" borderId="17" xfId="0" applyFont="1" applyBorder="1" applyAlignment="1">
      <alignment wrapText="1"/>
    </xf>
    <xf numFmtId="165" fontId="0" fillId="0" borderId="17" xfId="0" applyNumberForma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21" xfId="0" applyBorder="1" applyAlignment="1">
      <alignment wrapText="1"/>
    </xf>
    <xf numFmtId="165" fontId="0" fillId="0" borderId="22" xfId="0" applyNumberFormat="1" applyBorder="1" applyAlignment="1">
      <alignment wrapText="1"/>
    </xf>
    <xf numFmtId="0" fontId="2" fillId="0" borderId="17" xfId="0" applyFont="1" applyBorder="1" applyAlignment="1">
      <alignment wrapText="1"/>
    </xf>
    <xf numFmtId="0" fontId="0" fillId="0" borderId="22" xfId="0" applyBorder="1" applyAlignment="1">
      <alignment wrapText="1"/>
    </xf>
    <xf numFmtId="165" fontId="0" fillId="0" borderId="23" xfId="0" applyNumberFormat="1" applyBorder="1" applyAlignment="1">
      <alignment wrapText="1"/>
    </xf>
    <xf numFmtId="0" fontId="1" fillId="0" borderId="25" xfId="0" applyFont="1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1" fillId="0" borderId="29" xfId="0" applyFont="1" applyBorder="1" applyAlignment="1">
      <alignment wrapText="1"/>
    </xf>
    <xf numFmtId="164" fontId="0" fillId="0" borderId="29" xfId="0" applyNumberFormat="1" applyBorder="1" applyAlignment="1">
      <alignment wrapText="1"/>
    </xf>
    <xf numFmtId="164" fontId="0" fillId="0" borderId="29" xfId="0" quotePrefix="1" applyNumberFormat="1" applyBorder="1" applyAlignment="1">
      <alignment wrapText="1"/>
    </xf>
    <xf numFmtId="164" fontId="0" fillId="0" borderId="30" xfId="0" applyNumberFormat="1" applyBorder="1" applyAlignment="1">
      <alignment wrapText="1"/>
    </xf>
    <xf numFmtId="164" fontId="0" fillId="0" borderId="31" xfId="0" applyNumberFormat="1" applyBorder="1" applyAlignment="1">
      <alignment wrapText="1"/>
    </xf>
    <xf numFmtId="0" fontId="1" fillId="0" borderId="35" xfId="0" applyFont="1" applyBorder="1" applyAlignment="1">
      <alignment wrapText="1"/>
    </xf>
    <xf numFmtId="0" fontId="1" fillId="0" borderId="36" xfId="0" applyFont="1" applyBorder="1" applyAlignment="1">
      <alignment wrapText="1"/>
    </xf>
    <xf numFmtId="0" fontId="0" fillId="0" borderId="35" xfId="0" applyBorder="1" applyAlignment="1">
      <alignment wrapText="1"/>
    </xf>
    <xf numFmtId="165" fontId="0" fillId="0" borderId="36" xfId="0" applyNumberFormat="1" applyBorder="1" applyAlignment="1">
      <alignment wrapText="1"/>
    </xf>
    <xf numFmtId="0" fontId="0" fillId="0" borderId="37" xfId="0" applyBorder="1" applyAlignment="1">
      <alignment wrapText="1"/>
    </xf>
    <xf numFmtId="165" fontId="0" fillId="0" borderId="38" xfId="0" applyNumberFormat="1" applyBorder="1" applyAlignment="1">
      <alignment wrapText="1"/>
    </xf>
    <xf numFmtId="0" fontId="0" fillId="0" borderId="39" xfId="0" applyBorder="1" applyAlignment="1">
      <alignment wrapText="1"/>
    </xf>
    <xf numFmtId="165" fontId="0" fillId="0" borderId="40" xfId="0" applyNumberFormat="1" applyBorder="1" applyAlignment="1">
      <alignment wrapText="1"/>
    </xf>
    <xf numFmtId="0" fontId="0" fillId="0" borderId="40" xfId="0" applyBorder="1" applyAlignment="1">
      <alignment wrapText="1"/>
    </xf>
    <xf numFmtId="165" fontId="0" fillId="0" borderId="41" xfId="0" applyNumberFormat="1" applyBorder="1" applyAlignment="1">
      <alignment wrapText="1"/>
    </xf>
    <xf numFmtId="0" fontId="1" fillId="0" borderId="45" xfId="0" applyFont="1" applyBorder="1" applyAlignment="1">
      <alignment wrapText="1"/>
    </xf>
    <xf numFmtId="0" fontId="1" fillId="0" borderId="46" xfId="0" applyFont="1" applyBorder="1" applyAlignment="1">
      <alignment wrapText="1"/>
    </xf>
    <xf numFmtId="0" fontId="0" fillId="0" borderId="45" xfId="0" applyBorder="1" applyAlignment="1">
      <alignment wrapText="1"/>
    </xf>
    <xf numFmtId="165" fontId="0" fillId="0" borderId="46" xfId="0" applyNumberFormat="1" applyBorder="1" applyAlignment="1">
      <alignment wrapText="1"/>
    </xf>
    <xf numFmtId="0" fontId="0" fillId="0" borderId="47" xfId="0" applyBorder="1" applyAlignment="1">
      <alignment wrapText="1"/>
    </xf>
    <xf numFmtId="165" fontId="0" fillId="0" borderId="48" xfId="0" applyNumberFormat="1" applyBorder="1" applyAlignment="1">
      <alignment wrapText="1"/>
    </xf>
    <xf numFmtId="0" fontId="0" fillId="0" borderId="49" xfId="0" applyBorder="1" applyAlignment="1">
      <alignment wrapText="1"/>
    </xf>
    <xf numFmtId="165" fontId="0" fillId="0" borderId="50" xfId="0" applyNumberFormat="1" applyBorder="1" applyAlignment="1">
      <alignment wrapText="1"/>
    </xf>
    <xf numFmtId="0" fontId="0" fillId="0" borderId="50" xfId="0" applyBorder="1" applyAlignment="1">
      <alignment wrapText="1"/>
    </xf>
    <xf numFmtId="165" fontId="0" fillId="0" borderId="51" xfId="0" applyNumberFormat="1" applyBorder="1" applyAlignment="1">
      <alignment wrapText="1"/>
    </xf>
    <xf numFmtId="2" fontId="0" fillId="0" borderId="11" xfId="0" applyNumberFormat="1" applyBorder="1"/>
    <xf numFmtId="2" fontId="0" fillId="0" borderId="1" xfId="0" applyNumberFormat="1" applyBorder="1"/>
    <xf numFmtId="2" fontId="0" fillId="0" borderId="6" xfId="0" applyNumberFormat="1" applyBorder="1"/>
    <xf numFmtId="2" fontId="0" fillId="0" borderId="11" xfId="0" quotePrefix="1" applyNumberFormat="1" applyBorder="1"/>
    <xf numFmtId="49" fontId="0" fillId="0" borderId="29" xfId="0" applyNumberFormat="1" applyBorder="1" applyAlignment="1">
      <alignment wrapText="1"/>
    </xf>
    <xf numFmtId="49" fontId="0" fillId="0" borderId="29" xfId="0" quotePrefix="1" applyNumberFormat="1" applyBorder="1" applyAlignment="1">
      <alignment wrapText="1"/>
    </xf>
    <xf numFmtId="49" fontId="0" fillId="0" borderId="30" xfId="0" applyNumberFormat="1" applyBorder="1" applyAlignment="1">
      <alignment wrapText="1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46" xfId="0" applyBorder="1" applyAlignment="1">
      <alignment wrapText="1"/>
    </xf>
    <xf numFmtId="0" fontId="0" fillId="0" borderId="48" xfId="0" applyBorder="1" applyAlignment="1">
      <alignment wrapText="1"/>
    </xf>
    <xf numFmtId="49" fontId="0" fillId="0" borderId="31" xfId="0" applyNumberFormat="1" applyBorder="1" applyAlignment="1">
      <alignment wrapText="1"/>
    </xf>
    <xf numFmtId="49" fontId="0" fillId="0" borderId="52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41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51" xfId="0" applyBorder="1" applyAlignment="1">
      <alignment wrapText="1"/>
    </xf>
    <xf numFmtId="166" fontId="0" fillId="0" borderId="17" xfId="0" applyNumberFormat="1" applyBorder="1" applyAlignment="1">
      <alignment wrapText="1"/>
    </xf>
    <xf numFmtId="1" fontId="0" fillId="0" borderId="17" xfId="0" applyNumberFormat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2" xfId="0" applyFont="1" applyBorder="1" applyAlignment="1">
      <alignment wrapText="1"/>
    </xf>
    <xf numFmtId="0" fontId="1" fillId="0" borderId="43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1" fillId="0" borderId="32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53" xfId="0" applyFont="1" applyBorder="1" applyAlignment="1">
      <alignment wrapText="1"/>
    </xf>
    <xf numFmtId="0" fontId="1" fillId="0" borderId="54" xfId="0" applyFont="1" applyBorder="1" applyAlignment="1">
      <alignment wrapText="1"/>
    </xf>
    <xf numFmtId="0" fontId="1" fillId="0" borderId="5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D6A8-015E-4B4A-B63A-A7D1E7A79075}">
  <dimension ref="A1:Y7"/>
  <sheetViews>
    <sheetView workbookViewId="0">
      <selection activeCell="A5" sqref="A5:XFD7"/>
    </sheetView>
  </sheetViews>
  <sheetFormatPr defaultRowHeight="14.5" x14ac:dyDescent="0.35"/>
  <cols>
    <col min="1" max="1" width="11.81640625" customWidth="1"/>
    <col min="2" max="2" width="22.7265625" customWidth="1"/>
    <col min="3" max="3" width="27.26953125" customWidth="1"/>
    <col min="4" max="5" width="13.08984375" customWidth="1"/>
    <col min="6" max="6" width="22.7265625" customWidth="1"/>
    <col min="7" max="7" width="27.26953125" customWidth="1"/>
    <col min="8" max="9" width="13.08984375" customWidth="1"/>
    <col min="10" max="10" width="22.7265625" customWidth="1"/>
    <col min="11" max="11" width="27.26953125" customWidth="1"/>
    <col min="12" max="13" width="13.08984375" customWidth="1"/>
    <col min="14" max="14" width="22.7265625" customWidth="1"/>
    <col min="15" max="15" width="27.26953125" customWidth="1"/>
    <col min="16" max="17" width="13.08984375" customWidth="1"/>
    <col min="18" max="18" width="22.7265625" customWidth="1"/>
    <col min="19" max="19" width="27.26953125" customWidth="1"/>
    <col min="20" max="21" width="13.08984375" customWidth="1"/>
    <col min="22" max="22" width="22.7265625" customWidth="1"/>
    <col min="23" max="23" width="27.26953125" customWidth="1"/>
    <col min="24" max="25" width="13.08984375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40">
        <v>1.3</v>
      </c>
      <c r="B3" s="46" t="s">
        <v>268</v>
      </c>
      <c r="C3" s="27">
        <v>4200000</v>
      </c>
      <c r="D3" s="23" t="s">
        <v>68</v>
      </c>
      <c r="E3" s="47">
        <f>ABS(C3)*10%</f>
        <v>420000</v>
      </c>
      <c r="F3" s="46" t="s">
        <v>269</v>
      </c>
      <c r="G3" s="27">
        <v>21600000000</v>
      </c>
      <c r="H3" s="23" t="s">
        <v>69</v>
      </c>
      <c r="I3" s="47">
        <f>ABS(G3)*10%</f>
        <v>2160000000</v>
      </c>
      <c r="J3" s="35" t="s">
        <v>270</v>
      </c>
      <c r="K3" s="27">
        <v>4.1999999999999997E-3</v>
      </c>
      <c r="L3" s="23" t="s">
        <v>70</v>
      </c>
      <c r="M3" s="27">
        <f>ABS(K3)*10%</f>
        <v>4.2000000000000002E-4</v>
      </c>
      <c r="N3" s="23" t="s">
        <v>271</v>
      </c>
      <c r="O3" s="27">
        <v>1.7499999999999999E-7</v>
      </c>
      <c r="P3" s="23" t="s">
        <v>71</v>
      </c>
      <c r="Q3" s="27">
        <f>ABS(O3)*10%</f>
        <v>1.7500000000000001E-8</v>
      </c>
      <c r="R3" s="23" t="s">
        <v>272</v>
      </c>
      <c r="S3" s="81">
        <v>0.17499999999999999</v>
      </c>
      <c r="T3" s="23" t="s">
        <v>68</v>
      </c>
      <c r="U3" s="27">
        <f>ABS(S3)*10%</f>
        <v>1.7499999999999998E-2</v>
      </c>
      <c r="V3" s="56" t="s">
        <v>72</v>
      </c>
      <c r="W3" s="27">
        <v>1.2000000000000001E-11</v>
      </c>
      <c r="X3" s="23" t="s">
        <v>73</v>
      </c>
      <c r="Y3" s="57">
        <f>ABS(W3)*10%</f>
        <v>1.2000000000000001E-12</v>
      </c>
    </row>
    <row r="4" spans="1:25" x14ac:dyDescent="0.35">
      <c r="A4" s="40">
        <v>1.4</v>
      </c>
      <c r="B4" s="46" t="s">
        <v>268</v>
      </c>
      <c r="C4" s="27">
        <v>26300</v>
      </c>
      <c r="D4" s="23" t="s">
        <v>74</v>
      </c>
      <c r="E4" s="47">
        <f>ABS(C4)*10%</f>
        <v>2630</v>
      </c>
      <c r="F4" s="46" t="s">
        <v>269</v>
      </c>
      <c r="G4" s="27">
        <v>1.6299999999999999E-2</v>
      </c>
      <c r="H4" s="23" t="s">
        <v>70</v>
      </c>
      <c r="I4" s="47">
        <f>ABS(G4)*10%</f>
        <v>1.6299999999999999E-3</v>
      </c>
      <c r="J4" s="35" t="s">
        <v>270</v>
      </c>
      <c r="K4" s="82">
        <v>4</v>
      </c>
      <c r="L4" s="23" t="s">
        <v>75</v>
      </c>
      <c r="M4" s="27">
        <f>ABS(K4)*10%</f>
        <v>0.4</v>
      </c>
      <c r="N4" s="23" t="s">
        <v>271</v>
      </c>
      <c r="O4" s="27">
        <v>4.3E-3</v>
      </c>
      <c r="P4" s="23" t="s">
        <v>69</v>
      </c>
      <c r="Q4" s="27">
        <f>ABS(O4)*10%</f>
        <v>4.3000000000000004E-4</v>
      </c>
      <c r="R4" s="23" t="s">
        <v>272</v>
      </c>
      <c r="S4" s="82">
        <v>36</v>
      </c>
      <c r="T4" s="23" t="s">
        <v>76</v>
      </c>
      <c r="U4" s="27">
        <f>ABS(S4)*10%</f>
        <v>3.6</v>
      </c>
      <c r="V4" s="56" t="s">
        <v>72</v>
      </c>
      <c r="W4" s="82">
        <v>40</v>
      </c>
      <c r="X4" s="23" t="s">
        <v>77</v>
      </c>
      <c r="Y4" s="57">
        <f>ABS(W4)*10%</f>
        <v>4</v>
      </c>
    </row>
    <row r="5" spans="1:25" x14ac:dyDescent="0.35">
      <c r="A5" s="41"/>
      <c r="B5" s="46"/>
      <c r="C5" s="27"/>
      <c r="D5" s="31"/>
      <c r="E5" s="47"/>
      <c r="F5" s="46"/>
      <c r="G5" s="27"/>
      <c r="H5" s="23"/>
      <c r="I5" s="47"/>
      <c r="J5" s="35"/>
      <c r="K5" s="27"/>
      <c r="L5" s="23"/>
      <c r="M5" s="27"/>
      <c r="N5" s="23"/>
      <c r="O5" s="27"/>
      <c r="P5" s="31"/>
      <c r="Q5" s="27"/>
      <c r="R5" s="23"/>
      <c r="S5" s="27"/>
      <c r="T5" s="23"/>
      <c r="U5" s="27"/>
      <c r="V5" s="56"/>
      <c r="W5" s="27"/>
      <c r="X5" s="23"/>
      <c r="Y5" s="57"/>
    </row>
    <row r="6" spans="1:25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25" ht="15" thickBot="1" x14ac:dyDescent="0.4">
      <c r="A7" s="42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21B6-565E-4D2D-AF85-3C3B920C40A1}">
  <dimension ref="A1:M6"/>
  <sheetViews>
    <sheetView workbookViewId="0">
      <selection activeCell="C3" sqref="C3"/>
    </sheetView>
  </sheetViews>
  <sheetFormatPr defaultRowHeight="14.5" x14ac:dyDescent="0.35"/>
  <cols>
    <col min="4" max="4" width="17.08984375" customWidth="1"/>
    <col min="5" max="5" width="9.36328125" bestFit="1" customWidth="1"/>
    <col min="9" max="9" width="9.36328125" bestFit="1" customWidth="1"/>
    <col min="10" max="10" width="19.54296875" customWidth="1"/>
    <col min="13" max="13" width="9.36328125" bestFit="1" customWidth="1"/>
  </cols>
  <sheetData>
    <row r="1" spans="1:13" x14ac:dyDescent="0.35">
      <c r="A1" s="10"/>
      <c r="B1" s="83" t="s">
        <v>1</v>
      </c>
      <c r="C1" s="84"/>
      <c r="D1" s="84"/>
      <c r="E1" s="85"/>
      <c r="F1" s="83" t="s">
        <v>7</v>
      </c>
      <c r="G1" s="84"/>
      <c r="H1" s="84"/>
      <c r="I1" s="85"/>
      <c r="J1" s="86" t="s">
        <v>8</v>
      </c>
      <c r="K1" s="84"/>
      <c r="L1" s="84"/>
      <c r="M1" s="85"/>
    </row>
    <row r="2" spans="1:13" x14ac:dyDescent="0.35">
      <c r="A2" s="11" t="s">
        <v>0</v>
      </c>
      <c r="B2" s="3" t="s">
        <v>2</v>
      </c>
      <c r="C2" s="2" t="s">
        <v>3</v>
      </c>
      <c r="D2" s="2" t="s">
        <v>10</v>
      </c>
      <c r="E2" s="4" t="s">
        <v>4</v>
      </c>
      <c r="F2" s="3" t="s">
        <v>2</v>
      </c>
      <c r="G2" s="2" t="s">
        <v>3</v>
      </c>
      <c r="H2" s="2" t="s">
        <v>10</v>
      </c>
      <c r="I2" s="4" t="s">
        <v>4</v>
      </c>
      <c r="J2" s="14" t="s">
        <v>2</v>
      </c>
      <c r="K2" s="2" t="s">
        <v>3</v>
      </c>
      <c r="L2" s="2" t="s">
        <v>10</v>
      </c>
      <c r="M2" s="4" t="s">
        <v>4</v>
      </c>
    </row>
    <row r="3" spans="1:13" x14ac:dyDescent="0.35">
      <c r="A3" s="12">
        <v>1.1200000000000001</v>
      </c>
      <c r="B3" s="5" t="s">
        <v>25</v>
      </c>
      <c r="C3" s="1">
        <v>6.25</v>
      </c>
      <c r="D3" s="1" t="s">
        <v>26</v>
      </c>
      <c r="E3" s="6">
        <v>0.25</v>
      </c>
      <c r="F3" s="5"/>
      <c r="G3" s="1"/>
      <c r="H3" s="1"/>
      <c r="I3" s="6"/>
      <c r="J3" s="15"/>
      <c r="K3" s="1"/>
      <c r="L3" s="1"/>
      <c r="M3" s="6"/>
    </row>
    <row r="4" spans="1:13" x14ac:dyDescent="0.35">
      <c r="A4" s="12">
        <v>1.18</v>
      </c>
      <c r="B4" s="5" t="s">
        <v>28</v>
      </c>
      <c r="C4" s="1">
        <v>50</v>
      </c>
      <c r="D4" s="1" t="s">
        <v>27</v>
      </c>
      <c r="E4" s="6">
        <v>2</v>
      </c>
      <c r="F4" s="5" t="s">
        <v>31</v>
      </c>
      <c r="G4" s="1">
        <v>-1</v>
      </c>
      <c r="H4" s="1" t="s">
        <v>29</v>
      </c>
      <c r="I4" s="6">
        <v>0.1</v>
      </c>
      <c r="J4" s="15"/>
      <c r="K4" s="1"/>
      <c r="L4" s="1"/>
      <c r="M4" s="6"/>
    </row>
    <row r="5" spans="1:13" x14ac:dyDescent="0.35">
      <c r="A5" s="12">
        <v>1.21</v>
      </c>
      <c r="B5" s="5" t="s">
        <v>30</v>
      </c>
      <c r="C5" s="1">
        <v>30</v>
      </c>
      <c r="D5" s="1" t="s">
        <v>29</v>
      </c>
      <c r="E5" s="6">
        <v>1</v>
      </c>
      <c r="F5" s="5" t="s">
        <v>32</v>
      </c>
      <c r="G5" s="1">
        <v>75</v>
      </c>
      <c r="H5" s="1" t="s">
        <v>27</v>
      </c>
      <c r="I5" s="6">
        <v>1</v>
      </c>
      <c r="J5" s="15" t="s">
        <v>33</v>
      </c>
      <c r="K5" s="1">
        <v>125</v>
      </c>
      <c r="L5" s="1" t="s">
        <v>27</v>
      </c>
      <c r="M5" s="6">
        <v>5</v>
      </c>
    </row>
    <row r="6" spans="1:13" ht="15" thickBot="1" x14ac:dyDescent="0.4">
      <c r="A6" s="13">
        <v>1.22</v>
      </c>
      <c r="B6" s="7" t="s">
        <v>34</v>
      </c>
      <c r="C6" s="8">
        <v>2</v>
      </c>
      <c r="D6" s="8" t="s">
        <v>11</v>
      </c>
      <c r="E6" s="9">
        <v>0.25</v>
      </c>
      <c r="F6" s="7" t="s">
        <v>35</v>
      </c>
      <c r="G6" s="8">
        <v>0</v>
      </c>
      <c r="H6" s="8" t="s">
        <v>11</v>
      </c>
      <c r="I6" s="9">
        <v>0.25</v>
      </c>
      <c r="J6" s="16" t="s">
        <v>36</v>
      </c>
      <c r="K6" s="8">
        <v>-2</v>
      </c>
      <c r="L6" s="8" t="s">
        <v>11</v>
      </c>
      <c r="M6" s="9">
        <v>0.25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76BD-563F-4598-AF96-EAE1A8A5DD05}">
  <dimension ref="A1:Q8"/>
  <sheetViews>
    <sheetView workbookViewId="0">
      <selection activeCell="A4" sqref="A4"/>
    </sheetView>
  </sheetViews>
  <sheetFormatPr defaultRowHeight="14.5" x14ac:dyDescent="0.35"/>
  <cols>
    <col min="5" max="5" width="9.36328125" bestFit="1" customWidth="1"/>
    <col min="9" max="9" width="9.36328125" bestFit="1" customWidth="1"/>
    <col min="13" max="13" width="9.36328125" bestFit="1" customWidth="1"/>
  </cols>
  <sheetData>
    <row r="1" spans="1:17" x14ac:dyDescent="0.35">
      <c r="A1" s="10"/>
      <c r="B1" s="83" t="s">
        <v>1</v>
      </c>
      <c r="C1" s="84"/>
      <c r="D1" s="84"/>
      <c r="E1" s="85"/>
      <c r="F1" s="83" t="s">
        <v>7</v>
      </c>
      <c r="G1" s="84"/>
      <c r="H1" s="84"/>
      <c r="I1" s="85"/>
      <c r="J1" s="86" t="s">
        <v>8</v>
      </c>
      <c r="K1" s="84"/>
      <c r="L1" s="84"/>
      <c r="M1" s="85"/>
      <c r="N1" s="86" t="s">
        <v>64</v>
      </c>
      <c r="O1" s="84"/>
      <c r="P1" s="84"/>
      <c r="Q1" s="85"/>
    </row>
    <row r="2" spans="1:17" x14ac:dyDescent="0.35">
      <c r="A2" s="11" t="s">
        <v>0</v>
      </c>
      <c r="B2" s="3" t="s">
        <v>2</v>
      </c>
      <c r="C2" s="2" t="s">
        <v>3</v>
      </c>
      <c r="D2" s="2" t="s">
        <v>10</v>
      </c>
      <c r="E2" s="4" t="s">
        <v>4</v>
      </c>
      <c r="F2" s="3" t="s">
        <v>2</v>
      </c>
      <c r="G2" s="2" t="s">
        <v>3</v>
      </c>
      <c r="H2" s="2" t="s">
        <v>10</v>
      </c>
      <c r="I2" s="4" t="s">
        <v>4</v>
      </c>
      <c r="J2" s="14" t="s">
        <v>2</v>
      </c>
      <c r="K2" s="2" t="s">
        <v>3</v>
      </c>
      <c r="L2" s="2" t="s">
        <v>10</v>
      </c>
      <c r="M2" s="4" t="s">
        <v>4</v>
      </c>
      <c r="N2" s="14" t="s">
        <v>2</v>
      </c>
      <c r="O2" s="2" t="s">
        <v>3</v>
      </c>
      <c r="P2" s="2" t="s">
        <v>10</v>
      </c>
      <c r="Q2" s="4" t="s">
        <v>4</v>
      </c>
    </row>
    <row r="3" spans="1:17" x14ac:dyDescent="0.35">
      <c r="A3" s="12">
        <v>2.6</v>
      </c>
      <c r="B3" s="5" t="s">
        <v>42</v>
      </c>
      <c r="C3" s="1">
        <v>125</v>
      </c>
      <c r="D3" s="1" t="s">
        <v>20</v>
      </c>
      <c r="E3" s="6">
        <v>10</v>
      </c>
      <c r="F3" s="5" t="s">
        <v>43</v>
      </c>
      <c r="G3" s="1">
        <v>11.9</v>
      </c>
      <c r="H3" s="1" t="s">
        <v>20</v>
      </c>
      <c r="I3" s="6">
        <v>0.5</v>
      </c>
      <c r="J3" s="5" t="s">
        <v>45</v>
      </c>
      <c r="K3" s="1">
        <v>8.43</v>
      </c>
      <c r="L3" s="1" t="s">
        <v>11</v>
      </c>
      <c r="M3" s="6">
        <v>0.1</v>
      </c>
      <c r="N3" s="5" t="s">
        <v>44</v>
      </c>
      <c r="O3" s="1">
        <v>0.8</v>
      </c>
      <c r="P3" s="1" t="s">
        <v>11</v>
      </c>
      <c r="Q3" s="6">
        <v>0.1</v>
      </c>
    </row>
    <row r="4" spans="1:17" x14ac:dyDescent="0.35">
      <c r="A4" s="12">
        <v>2.7</v>
      </c>
      <c r="B4" s="5" t="s">
        <v>39</v>
      </c>
      <c r="C4" s="1">
        <v>47</v>
      </c>
      <c r="D4" s="1" t="s">
        <v>40</v>
      </c>
      <c r="E4" s="6">
        <v>1</v>
      </c>
      <c r="F4" s="5" t="s">
        <v>41</v>
      </c>
      <c r="G4" s="1">
        <v>55.6</v>
      </c>
      <c r="H4" s="1" t="s">
        <v>20</v>
      </c>
      <c r="I4" s="6">
        <v>1</v>
      </c>
      <c r="J4" s="15"/>
      <c r="K4" s="1"/>
      <c r="L4" s="1"/>
      <c r="M4" s="6"/>
      <c r="N4" s="15"/>
      <c r="O4" s="1"/>
      <c r="P4" s="1"/>
      <c r="Q4" s="6"/>
    </row>
    <row r="5" spans="1:17" x14ac:dyDescent="0.35">
      <c r="A5" s="12">
        <v>2.8</v>
      </c>
      <c r="B5" s="5" t="s">
        <v>38</v>
      </c>
      <c r="C5" s="1">
        <v>6.41</v>
      </c>
      <c r="D5" s="1" t="s">
        <v>20</v>
      </c>
      <c r="E5" s="6">
        <v>0.25</v>
      </c>
      <c r="F5" s="5" t="s">
        <v>5</v>
      </c>
      <c r="G5" s="1">
        <v>17.2</v>
      </c>
      <c r="H5" s="1" t="s">
        <v>11</v>
      </c>
      <c r="I5" s="6">
        <v>0.5</v>
      </c>
      <c r="J5" s="15"/>
      <c r="K5" s="1"/>
      <c r="L5" s="1"/>
      <c r="M5" s="6"/>
      <c r="N5" s="15"/>
      <c r="O5" s="1"/>
      <c r="P5" s="1"/>
      <c r="Q5" s="6"/>
    </row>
    <row r="6" spans="1:17" x14ac:dyDescent="0.35">
      <c r="A6" s="12">
        <v>2.11</v>
      </c>
      <c r="B6" s="5" t="s">
        <v>38</v>
      </c>
      <c r="C6" s="1">
        <v>2500</v>
      </c>
      <c r="D6" s="1" t="s">
        <v>20</v>
      </c>
      <c r="E6" s="6">
        <v>100</v>
      </c>
      <c r="F6" s="5"/>
      <c r="G6" s="1"/>
      <c r="H6" s="1"/>
      <c r="I6" s="6"/>
      <c r="J6" s="15"/>
      <c r="K6" s="1"/>
      <c r="L6" s="1"/>
      <c r="M6" s="6"/>
      <c r="N6" s="15"/>
      <c r="O6" s="1"/>
      <c r="P6" s="1"/>
      <c r="Q6" s="6"/>
    </row>
    <row r="7" spans="1:17" x14ac:dyDescent="0.35">
      <c r="A7" s="12">
        <v>2.15</v>
      </c>
      <c r="B7" s="5" t="s">
        <v>16</v>
      </c>
      <c r="C7" s="1">
        <v>2.4300000000000002</v>
      </c>
      <c r="D7" s="1" t="s">
        <v>11</v>
      </c>
      <c r="E7" s="6">
        <v>0.1</v>
      </c>
      <c r="F7" s="5"/>
      <c r="G7" s="1"/>
      <c r="H7" s="1"/>
      <c r="I7" s="6"/>
      <c r="J7" s="15"/>
      <c r="K7" s="1"/>
      <c r="L7" s="1"/>
      <c r="M7" s="6"/>
      <c r="N7" s="15"/>
      <c r="O7" s="1"/>
      <c r="P7" s="1"/>
      <c r="Q7" s="6"/>
    </row>
    <row r="8" spans="1:17" ht="15" thickBot="1" x14ac:dyDescent="0.4">
      <c r="A8" s="13">
        <v>2.19</v>
      </c>
      <c r="B8" s="7" t="s">
        <v>16</v>
      </c>
      <c r="C8" s="8">
        <v>3.57</v>
      </c>
      <c r="D8" s="8" t="s">
        <v>11</v>
      </c>
      <c r="E8" s="9">
        <v>0.1</v>
      </c>
      <c r="F8" s="7" t="s">
        <v>37</v>
      </c>
      <c r="G8" s="8">
        <v>2.86</v>
      </c>
      <c r="H8" s="8" t="s">
        <v>11</v>
      </c>
      <c r="I8" s="9">
        <v>0.1</v>
      </c>
      <c r="J8" s="16"/>
      <c r="K8" s="8"/>
      <c r="L8" s="8"/>
      <c r="M8" s="9"/>
      <c r="N8" s="16"/>
      <c r="O8" s="8"/>
      <c r="P8" s="8"/>
      <c r="Q8" s="9"/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BB39-110F-4C3C-ACE5-9DDB4799F102}">
  <dimension ref="A1:M8"/>
  <sheetViews>
    <sheetView tabSelected="1" workbookViewId="0">
      <selection activeCell="E16" sqref="E16"/>
    </sheetView>
  </sheetViews>
  <sheetFormatPr defaultRowHeight="14.5" x14ac:dyDescent="0.35"/>
  <cols>
    <col min="5" max="5" width="9.36328125" bestFit="1" customWidth="1"/>
    <col min="9" max="9" width="9.36328125" bestFit="1" customWidth="1"/>
    <col min="13" max="13" width="9.36328125" bestFit="1" customWidth="1"/>
  </cols>
  <sheetData>
    <row r="1" spans="1:13" x14ac:dyDescent="0.35">
      <c r="A1" s="10"/>
      <c r="B1" s="83" t="s">
        <v>1</v>
      </c>
      <c r="C1" s="84"/>
      <c r="D1" s="84"/>
      <c r="E1" s="85"/>
      <c r="F1" s="86" t="s">
        <v>7</v>
      </c>
      <c r="G1" s="84"/>
      <c r="H1" s="84"/>
      <c r="I1" s="85"/>
      <c r="J1" s="86" t="s">
        <v>8</v>
      </c>
      <c r="K1" s="84"/>
      <c r="L1" s="84"/>
      <c r="M1" s="85"/>
    </row>
    <row r="2" spans="1:13" x14ac:dyDescent="0.35">
      <c r="A2" s="11" t="s">
        <v>0</v>
      </c>
      <c r="B2" s="3" t="s">
        <v>2</v>
      </c>
      <c r="C2" s="2" t="s">
        <v>3</v>
      </c>
      <c r="D2" s="2" t="s">
        <v>10</v>
      </c>
      <c r="E2" s="4" t="s">
        <v>4</v>
      </c>
      <c r="F2" s="14" t="s">
        <v>2</v>
      </c>
      <c r="G2" s="2" t="s">
        <v>3</v>
      </c>
      <c r="H2" s="2" t="s">
        <v>10</v>
      </c>
      <c r="I2" s="4" t="s">
        <v>4</v>
      </c>
      <c r="J2" s="14" t="s">
        <v>2</v>
      </c>
      <c r="K2" s="2" t="s">
        <v>3</v>
      </c>
      <c r="L2" s="2" t="s">
        <v>10</v>
      </c>
      <c r="M2" s="4" t="s">
        <v>4</v>
      </c>
    </row>
    <row r="3" spans="1:13" x14ac:dyDescent="0.35">
      <c r="A3" s="18">
        <v>2.29</v>
      </c>
      <c r="B3" s="5" t="s">
        <v>17</v>
      </c>
      <c r="C3" s="1">
        <v>31</v>
      </c>
      <c r="D3" s="1" t="s">
        <v>11</v>
      </c>
      <c r="E3" s="6">
        <v>0.25</v>
      </c>
      <c r="F3" s="15"/>
      <c r="G3" s="1"/>
      <c r="H3" s="1"/>
      <c r="I3" s="6"/>
      <c r="J3" s="15"/>
      <c r="K3" s="1"/>
      <c r="L3" s="1"/>
      <c r="M3" s="6"/>
    </row>
    <row r="4" spans="1:13" x14ac:dyDescent="0.35">
      <c r="A4" s="18">
        <v>2.36</v>
      </c>
      <c r="B4" s="5" t="s">
        <v>18</v>
      </c>
      <c r="C4" s="1">
        <v>8</v>
      </c>
      <c r="D4" s="1" t="s">
        <v>12</v>
      </c>
      <c r="E4" s="6">
        <v>0.25</v>
      </c>
      <c r="F4" s="15"/>
      <c r="G4" s="1"/>
      <c r="H4" s="1"/>
      <c r="I4" s="6"/>
      <c r="J4" s="15"/>
      <c r="K4" s="1"/>
      <c r="L4" s="1"/>
      <c r="M4" s="6"/>
    </row>
    <row r="5" spans="1:13" x14ac:dyDescent="0.35">
      <c r="A5" s="19" t="s">
        <v>21</v>
      </c>
      <c r="B5" s="5" t="s">
        <v>19</v>
      </c>
      <c r="C5" s="1">
        <v>5</v>
      </c>
      <c r="D5" s="17" t="s">
        <v>20</v>
      </c>
      <c r="E5" s="6">
        <v>0.25</v>
      </c>
      <c r="F5" s="15" t="s">
        <v>6</v>
      </c>
      <c r="G5" s="1">
        <v>125</v>
      </c>
      <c r="H5" s="1" t="s">
        <v>15</v>
      </c>
      <c r="I5" s="6">
        <v>1</v>
      </c>
      <c r="J5" s="15"/>
      <c r="K5" s="1"/>
      <c r="L5" s="1"/>
      <c r="M5" s="6"/>
    </row>
    <row r="6" spans="1:13" x14ac:dyDescent="0.35">
      <c r="A6" s="18" t="s">
        <v>22</v>
      </c>
      <c r="B6" s="5" t="s">
        <v>5</v>
      </c>
      <c r="C6" s="1">
        <v>1.97</v>
      </c>
      <c r="D6" s="17" t="s">
        <v>11</v>
      </c>
      <c r="E6" s="6">
        <v>0.25</v>
      </c>
      <c r="F6" s="15"/>
      <c r="G6" s="1"/>
      <c r="H6" s="1"/>
      <c r="I6" s="6"/>
      <c r="J6" s="15"/>
      <c r="K6" s="1"/>
      <c r="L6" s="1"/>
      <c r="M6" s="6"/>
    </row>
    <row r="7" spans="1:13" x14ac:dyDescent="0.35">
      <c r="A7" s="18" t="s">
        <v>23</v>
      </c>
      <c r="B7" s="5" t="s">
        <v>19</v>
      </c>
      <c r="C7" s="1">
        <v>10</v>
      </c>
      <c r="D7" s="17" t="s">
        <v>20</v>
      </c>
      <c r="E7" s="6">
        <v>0.25</v>
      </c>
      <c r="F7" s="15"/>
      <c r="G7" s="1"/>
      <c r="H7" s="1"/>
      <c r="I7" s="6"/>
      <c r="J7" s="15"/>
      <c r="K7" s="1"/>
      <c r="L7" s="1"/>
      <c r="M7" s="6"/>
    </row>
    <row r="8" spans="1:13" ht="15" thickBot="1" x14ac:dyDescent="0.4">
      <c r="A8" s="20" t="s">
        <v>24</v>
      </c>
      <c r="B8" s="7" t="s">
        <v>6</v>
      </c>
      <c r="C8" s="8">
        <v>3.99</v>
      </c>
      <c r="D8" s="21" t="s">
        <v>15</v>
      </c>
      <c r="E8" s="9">
        <v>0.25</v>
      </c>
      <c r="F8" s="16"/>
      <c r="G8" s="8"/>
      <c r="H8" s="8"/>
      <c r="I8" s="9"/>
      <c r="J8" s="16"/>
      <c r="K8" s="8"/>
      <c r="L8" s="8"/>
      <c r="M8" s="9"/>
    </row>
  </sheetData>
  <mergeCells count="3">
    <mergeCell ref="B1:E1"/>
    <mergeCell ref="F1:I1"/>
    <mergeCell ref="J1:M1"/>
  </mergeCells>
  <pageMargins left="0.7" right="0.7" top="0.75" bottom="0.75" header="0.3" footer="0.3"/>
  <pageSetup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9778-6856-40A2-9432-9BE41E2A7C62}">
  <dimension ref="A1:M6"/>
  <sheetViews>
    <sheetView workbookViewId="0">
      <selection activeCell="E18" sqref="E18"/>
    </sheetView>
  </sheetViews>
  <sheetFormatPr defaultRowHeight="14.5" x14ac:dyDescent="0.35"/>
  <cols>
    <col min="5" max="5" width="9.36328125" bestFit="1" customWidth="1"/>
    <col min="9" max="9" width="9.36328125" bestFit="1" customWidth="1"/>
    <col min="13" max="13" width="9.36328125" bestFit="1" customWidth="1"/>
  </cols>
  <sheetData>
    <row r="1" spans="1:13" x14ac:dyDescent="0.35">
      <c r="A1" s="10"/>
      <c r="B1" s="83" t="s">
        <v>1</v>
      </c>
      <c r="C1" s="84"/>
      <c r="D1" s="84"/>
      <c r="E1" s="85"/>
      <c r="F1" s="83" t="s">
        <v>7</v>
      </c>
      <c r="G1" s="84"/>
      <c r="H1" s="84"/>
      <c r="I1" s="85"/>
      <c r="J1" s="86" t="s">
        <v>8</v>
      </c>
      <c r="K1" s="84"/>
      <c r="L1" s="84"/>
      <c r="M1" s="85"/>
    </row>
    <row r="2" spans="1:13" x14ac:dyDescent="0.35">
      <c r="A2" s="11" t="s">
        <v>0</v>
      </c>
      <c r="B2" s="3" t="s">
        <v>2</v>
      </c>
      <c r="C2" s="2" t="s">
        <v>3</v>
      </c>
      <c r="D2" s="2" t="s">
        <v>10</v>
      </c>
      <c r="E2" s="4" t="s">
        <v>4</v>
      </c>
      <c r="F2" s="3" t="s">
        <v>2</v>
      </c>
      <c r="G2" s="2" t="s">
        <v>3</v>
      </c>
      <c r="H2" s="2" t="s">
        <v>10</v>
      </c>
      <c r="I2" s="4" t="s">
        <v>4</v>
      </c>
      <c r="J2" s="14" t="s">
        <v>2</v>
      </c>
      <c r="K2" s="2" t="s">
        <v>3</v>
      </c>
      <c r="L2" s="2" t="s">
        <v>10</v>
      </c>
      <c r="M2" s="4" t="s">
        <v>4</v>
      </c>
    </row>
    <row r="3" spans="1:13" x14ac:dyDescent="0.35">
      <c r="A3" s="12">
        <v>3.3</v>
      </c>
      <c r="B3" s="5" t="s">
        <v>5</v>
      </c>
      <c r="C3" s="1">
        <v>-3</v>
      </c>
      <c r="D3" s="1" t="s">
        <v>11</v>
      </c>
      <c r="E3" s="6">
        <v>0.25</v>
      </c>
      <c r="F3" s="5" t="s">
        <v>6</v>
      </c>
      <c r="G3" s="1">
        <v>-120</v>
      </c>
      <c r="H3" s="1" t="s">
        <v>15</v>
      </c>
      <c r="I3" s="6">
        <v>1</v>
      </c>
      <c r="J3" s="15"/>
      <c r="K3" s="1"/>
      <c r="L3" s="1"/>
      <c r="M3" s="6"/>
    </row>
    <row r="4" spans="1:13" x14ac:dyDescent="0.35">
      <c r="A4" s="12">
        <v>3.5</v>
      </c>
      <c r="B4" s="5" t="s">
        <v>9</v>
      </c>
      <c r="C4" s="1">
        <v>7</v>
      </c>
      <c r="D4" s="1" t="s">
        <v>12</v>
      </c>
      <c r="E4" s="6">
        <v>0.25</v>
      </c>
      <c r="F4" s="5"/>
      <c r="G4" s="1"/>
      <c r="H4" s="1"/>
      <c r="I4" s="6"/>
      <c r="J4" s="15"/>
      <c r="K4" s="1"/>
      <c r="L4" s="1"/>
      <c r="M4" s="6"/>
    </row>
    <row r="5" spans="1:13" x14ac:dyDescent="0.35">
      <c r="A5" s="12">
        <v>3.12</v>
      </c>
      <c r="B5" s="5" t="s">
        <v>13</v>
      </c>
      <c r="C5" s="1">
        <v>3.8</v>
      </c>
      <c r="D5" s="1" t="s">
        <v>12</v>
      </c>
      <c r="E5" s="6">
        <v>0.25</v>
      </c>
      <c r="F5" s="5" t="s">
        <v>14</v>
      </c>
      <c r="G5" s="1">
        <v>5.8</v>
      </c>
      <c r="H5" s="1" t="s">
        <v>12</v>
      </c>
      <c r="I5" s="6">
        <v>0.25</v>
      </c>
      <c r="J5" s="15" t="s">
        <v>16</v>
      </c>
      <c r="K5" s="1">
        <v>0.85</v>
      </c>
      <c r="L5" s="1" t="s">
        <v>11</v>
      </c>
      <c r="M5" s="6">
        <v>0.1</v>
      </c>
    </row>
    <row r="6" spans="1:13" ht="15" thickBot="1" x14ac:dyDescent="0.4">
      <c r="A6" s="13">
        <v>3.15</v>
      </c>
      <c r="B6" s="7" t="s">
        <v>16</v>
      </c>
      <c r="C6" s="8">
        <v>8</v>
      </c>
      <c r="D6" s="8" t="s">
        <v>11</v>
      </c>
      <c r="E6" s="9">
        <v>0.25</v>
      </c>
      <c r="F6" s="7"/>
      <c r="G6" s="8"/>
      <c r="H6" s="8"/>
      <c r="I6" s="9"/>
      <c r="J6" s="16"/>
      <c r="K6" s="8"/>
      <c r="L6" s="8"/>
      <c r="M6" s="9"/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4E7E-2C06-43FB-B347-39C61E37A90D}">
  <dimension ref="A1:Y6"/>
  <sheetViews>
    <sheetView workbookViewId="0">
      <selection activeCell="E17" sqref="E17"/>
    </sheetView>
  </sheetViews>
  <sheetFormatPr defaultRowHeight="14.5" x14ac:dyDescent="0.35"/>
  <cols>
    <col min="5" max="5" width="9.36328125" bestFit="1" customWidth="1"/>
    <col min="9" max="9" width="9.36328125" bestFit="1" customWidth="1"/>
    <col min="13" max="13" width="9.36328125" bestFit="1" customWidth="1"/>
  </cols>
  <sheetData>
    <row r="1" spans="1:25" x14ac:dyDescent="0.35">
      <c r="A1" s="10"/>
      <c r="B1" s="83" t="s">
        <v>1</v>
      </c>
      <c r="C1" s="84"/>
      <c r="D1" s="84"/>
      <c r="E1" s="85"/>
      <c r="F1" s="86" t="s">
        <v>7</v>
      </c>
      <c r="G1" s="84"/>
      <c r="H1" s="84"/>
      <c r="I1" s="85"/>
      <c r="J1" s="86" t="s">
        <v>8</v>
      </c>
      <c r="K1" s="84"/>
      <c r="L1" s="84"/>
      <c r="M1" s="85"/>
      <c r="N1" s="86" t="s">
        <v>64</v>
      </c>
      <c r="O1" s="84"/>
      <c r="P1" s="84"/>
      <c r="Q1" s="85"/>
      <c r="R1" s="86" t="s">
        <v>65</v>
      </c>
      <c r="S1" s="84"/>
      <c r="T1" s="84"/>
      <c r="U1" s="85"/>
    </row>
    <row r="2" spans="1:25" x14ac:dyDescent="0.35">
      <c r="A2" s="11" t="s">
        <v>0</v>
      </c>
      <c r="B2" s="3" t="s">
        <v>2</v>
      </c>
      <c r="C2" s="2" t="s">
        <v>3</v>
      </c>
      <c r="D2" s="2" t="s">
        <v>10</v>
      </c>
      <c r="E2" s="4" t="s">
        <v>4</v>
      </c>
      <c r="F2" s="14" t="s">
        <v>2</v>
      </c>
      <c r="G2" s="2" t="s">
        <v>3</v>
      </c>
      <c r="H2" s="2" t="s">
        <v>10</v>
      </c>
      <c r="I2" s="4" t="s">
        <v>4</v>
      </c>
      <c r="J2" s="14" t="s">
        <v>2</v>
      </c>
      <c r="K2" s="2" t="s">
        <v>3</v>
      </c>
      <c r="L2" s="2" t="s">
        <v>10</v>
      </c>
      <c r="M2" s="4" t="s">
        <v>4</v>
      </c>
      <c r="N2" s="14" t="s">
        <v>2</v>
      </c>
      <c r="O2" s="2" t="s">
        <v>3</v>
      </c>
      <c r="P2" s="2" t="s">
        <v>10</v>
      </c>
      <c r="Q2" s="4" t="s">
        <v>4</v>
      </c>
      <c r="R2" s="14" t="s">
        <v>2</v>
      </c>
      <c r="S2" s="2" t="s">
        <v>3</v>
      </c>
      <c r="T2" s="2" t="s">
        <v>10</v>
      </c>
      <c r="U2" s="4" t="s">
        <v>4</v>
      </c>
    </row>
    <row r="3" spans="1:25" x14ac:dyDescent="0.35">
      <c r="A3" s="18" t="s">
        <v>46</v>
      </c>
      <c r="B3" s="5" t="s">
        <v>47</v>
      </c>
      <c r="C3" s="1">
        <v>1</v>
      </c>
      <c r="D3" s="1" t="s">
        <v>11</v>
      </c>
      <c r="E3" s="6">
        <v>0.1</v>
      </c>
      <c r="F3" s="15" t="s">
        <v>48</v>
      </c>
      <c r="G3" s="1">
        <v>-3</v>
      </c>
      <c r="H3" s="1" t="s">
        <v>11</v>
      </c>
      <c r="I3" s="6">
        <v>0.1</v>
      </c>
      <c r="J3" s="15" t="s">
        <v>6</v>
      </c>
      <c r="K3" s="1">
        <v>-120</v>
      </c>
      <c r="L3" s="1" t="s">
        <v>15</v>
      </c>
      <c r="M3" s="6">
        <v>1</v>
      </c>
      <c r="N3" s="15"/>
      <c r="O3" s="1"/>
      <c r="P3" s="1"/>
      <c r="Q3" s="6"/>
      <c r="R3" s="15"/>
      <c r="S3" s="1"/>
      <c r="T3" s="1"/>
      <c r="U3" s="6"/>
    </row>
    <row r="4" spans="1:25" x14ac:dyDescent="0.35">
      <c r="A4" s="18" t="s">
        <v>49</v>
      </c>
      <c r="B4" s="5" t="s">
        <v>50</v>
      </c>
      <c r="C4" s="1">
        <v>4.5</v>
      </c>
      <c r="D4" s="1" t="s">
        <v>11</v>
      </c>
      <c r="E4" s="6">
        <v>0.25</v>
      </c>
      <c r="F4" s="15" t="s">
        <v>47</v>
      </c>
      <c r="G4" s="1">
        <v>5.5</v>
      </c>
      <c r="H4" s="1" t="s">
        <v>11</v>
      </c>
      <c r="I4" s="6">
        <v>0.25</v>
      </c>
      <c r="J4" s="15" t="s">
        <v>18</v>
      </c>
      <c r="K4" s="1">
        <v>-3</v>
      </c>
      <c r="L4" s="1" t="s">
        <v>12</v>
      </c>
      <c r="M4" s="6">
        <v>0.25</v>
      </c>
      <c r="N4" s="15"/>
      <c r="O4" s="1"/>
      <c r="P4" s="1"/>
      <c r="Q4" s="6"/>
      <c r="R4" s="15"/>
      <c r="S4" s="1"/>
      <c r="T4" s="1"/>
      <c r="U4" s="6"/>
    </row>
    <row r="5" spans="1:25" x14ac:dyDescent="0.35">
      <c r="A5" s="19" t="s">
        <v>51</v>
      </c>
      <c r="B5" s="5" t="s">
        <v>50</v>
      </c>
      <c r="C5" s="1">
        <v>2.15</v>
      </c>
      <c r="D5" s="17" t="s">
        <v>11</v>
      </c>
      <c r="E5" s="6">
        <v>0.25</v>
      </c>
      <c r="F5" s="15" t="s">
        <v>47</v>
      </c>
      <c r="G5" s="1">
        <v>1.2</v>
      </c>
      <c r="H5" s="1" t="s">
        <v>11</v>
      </c>
      <c r="I5" s="6">
        <v>0.25</v>
      </c>
      <c r="J5" s="15" t="s">
        <v>48</v>
      </c>
      <c r="K5" s="1">
        <v>2.9</v>
      </c>
      <c r="L5" s="1" t="s">
        <v>11</v>
      </c>
      <c r="M5" s="6">
        <v>0.25</v>
      </c>
      <c r="N5" s="5" t="s">
        <v>52</v>
      </c>
      <c r="O5" s="1">
        <v>1.3</v>
      </c>
      <c r="P5" s="17" t="s">
        <v>11</v>
      </c>
      <c r="Q5" s="6">
        <v>0.25</v>
      </c>
      <c r="R5" s="15" t="s">
        <v>16</v>
      </c>
      <c r="S5" s="1">
        <v>0.85</v>
      </c>
      <c r="T5" s="1" t="s">
        <v>11</v>
      </c>
      <c r="U5" s="6">
        <v>0.1</v>
      </c>
      <c r="V5" s="15"/>
      <c r="W5" s="1"/>
      <c r="X5" s="1"/>
      <c r="Y5" s="6"/>
    </row>
    <row r="6" spans="1:25" ht="15" thickBot="1" x14ac:dyDescent="0.4">
      <c r="A6" s="20" t="s">
        <v>53</v>
      </c>
      <c r="B6" s="7" t="s">
        <v>54</v>
      </c>
      <c r="C6" s="8">
        <v>2</v>
      </c>
      <c r="D6" s="21" t="s">
        <v>12</v>
      </c>
      <c r="E6" s="9">
        <v>0.1</v>
      </c>
      <c r="F6" s="16"/>
      <c r="G6" s="8"/>
      <c r="H6" s="8"/>
      <c r="I6" s="9"/>
      <c r="J6" s="16"/>
      <c r="K6" s="8"/>
      <c r="L6" s="8"/>
      <c r="M6" s="9"/>
      <c r="N6" s="16"/>
      <c r="O6" s="8"/>
      <c r="P6" s="8"/>
      <c r="Q6" s="9"/>
      <c r="R6" s="16"/>
      <c r="S6" s="8"/>
      <c r="T6" s="8"/>
      <c r="U6" s="9"/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3AC0-F5C8-4688-9D0E-A686A165ABE2}">
  <dimension ref="A1:Q5"/>
  <sheetViews>
    <sheetView topLeftCell="F1" workbookViewId="0">
      <selection activeCell="R9" sqref="R9"/>
    </sheetView>
  </sheetViews>
  <sheetFormatPr defaultRowHeight="14.5" x14ac:dyDescent="0.35"/>
  <cols>
    <col min="5" max="5" width="9.36328125" bestFit="1" customWidth="1"/>
    <col min="9" max="9" width="9.36328125" bestFit="1" customWidth="1"/>
    <col min="13" max="13" width="9.36328125" bestFit="1" customWidth="1"/>
  </cols>
  <sheetData>
    <row r="1" spans="1:17" x14ac:dyDescent="0.35">
      <c r="A1" s="10"/>
      <c r="B1" s="83" t="s">
        <v>1</v>
      </c>
      <c r="C1" s="84"/>
      <c r="D1" s="84"/>
      <c r="E1" s="85"/>
      <c r="F1" s="86" t="s">
        <v>7</v>
      </c>
      <c r="G1" s="84"/>
      <c r="H1" s="84"/>
      <c r="I1" s="85"/>
      <c r="J1" s="86" t="s">
        <v>8</v>
      </c>
      <c r="K1" s="84"/>
      <c r="L1" s="84"/>
      <c r="M1" s="85"/>
      <c r="N1" s="86" t="s">
        <v>64</v>
      </c>
      <c r="O1" s="84"/>
      <c r="P1" s="84"/>
      <c r="Q1" s="85"/>
    </row>
    <row r="2" spans="1:17" x14ac:dyDescent="0.35">
      <c r="A2" s="11" t="s">
        <v>0</v>
      </c>
      <c r="B2" s="3" t="s">
        <v>2</v>
      </c>
      <c r="C2" s="2" t="s">
        <v>3</v>
      </c>
      <c r="D2" s="2" t="s">
        <v>10</v>
      </c>
      <c r="E2" s="4" t="s">
        <v>4</v>
      </c>
      <c r="F2" s="14" t="s">
        <v>2</v>
      </c>
      <c r="G2" s="2" t="s">
        <v>3</v>
      </c>
      <c r="H2" s="2" t="s">
        <v>10</v>
      </c>
      <c r="I2" s="4" t="s">
        <v>4</v>
      </c>
      <c r="J2" s="14" t="s">
        <v>2</v>
      </c>
      <c r="K2" s="2" t="s">
        <v>3</v>
      </c>
      <c r="L2" s="2" t="s">
        <v>10</v>
      </c>
      <c r="M2" s="4" t="s">
        <v>4</v>
      </c>
      <c r="N2" s="14" t="s">
        <v>2</v>
      </c>
      <c r="O2" s="2" t="s">
        <v>3</v>
      </c>
      <c r="P2" s="2" t="s">
        <v>10</v>
      </c>
      <c r="Q2" s="4" t="s">
        <v>4</v>
      </c>
    </row>
    <row r="3" spans="1:17" x14ac:dyDescent="0.35">
      <c r="A3" s="18" t="s">
        <v>55</v>
      </c>
      <c r="B3" s="5" t="s">
        <v>56</v>
      </c>
      <c r="C3" s="1">
        <v>-4</v>
      </c>
      <c r="D3" s="1" t="s">
        <v>12</v>
      </c>
      <c r="E3" s="6">
        <v>0.1</v>
      </c>
      <c r="F3" s="15" t="s">
        <v>57</v>
      </c>
      <c r="G3" s="1">
        <v>5</v>
      </c>
      <c r="H3" s="1" t="s">
        <v>20</v>
      </c>
      <c r="I3" s="6">
        <v>0.1</v>
      </c>
      <c r="J3" s="15" t="s">
        <v>58</v>
      </c>
      <c r="K3" s="1">
        <v>3</v>
      </c>
      <c r="L3" s="1" t="s">
        <v>20</v>
      </c>
      <c r="M3" s="6">
        <v>0.1</v>
      </c>
      <c r="N3" s="15" t="s">
        <v>58</v>
      </c>
      <c r="O3" s="1">
        <v>3</v>
      </c>
      <c r="P3" s="1" t="s">
        <v>20</v>
      </c>
      <c r="Q3" s="6">
        <v>0.1</v>
      </c>
    </row>
    <row r="4" spans="1:17" x14ac:dyDescent="0.35">
      <c r="A4" s="18" t="s">
        <v>59</v>
      </c>
      <c r="B4" s="5" t="s">
        <v>60</v>
      </c>
      <c r="C4" s="1">
        <v>0</v>
      </c>
      <c r="D4" s="1" t="s">
        <v>12</v>
      </c>
      <c r="E4" s="6">
        <v>0.1</v>
      </c>
      <c r="F4" s="15" t="s">
        <v>61</v>
      </c>
      <c r="G4" s="1">
        <v>5</v>
      </c>
      <c r="H4" s="1" t="s">
        <v>12</v>
      </c>
      <c r="I4" s="6">
        <v>0.1</v>
      </c>
      <c r="J4" s="15" t="s">
        <v>62</v>
      </c>
      <c r="K4" s="1">
        <v>-15</v>
      </c>
      <c r="L4" s="1" t="s">
        <v>12</v>
      </c>
      <c r="M4" s="6">
        <v>0.25</v>
      </c>
      <c r="N4" s="15" t="s">
        <v>18</v>
      </c>
      <c r="O4" s="1">
        <v>-10</v>
      </c>
      <c r="P4" s="1" t="s">
        <v>12</v>
      </c>
      <c r="Q4" s="6">
        <v>0.1</v>
      </c>
    </row>
    <row r="5" spans="1:17" ht="15" thickBot="1" x14ac:dyDescent="0.4">
      <c r="A5" s="22" t="s">
        <v>63</v>
      </c>
      <c r="B5" s="7" t="s">
        <v>56</v>
      </c>
      <c r="C5" s="8">
        <v>17.489999999999998</v>
      </c>
      <c r="D5" s="21" t="s">
        <v>12</v>
      </c>
      <c r="E5" s="9">
        <v>0.25</v>
      </c>
      <c r="F5" s="16" t="s">
        <v>66</v>
      </c>
      <c r="G5" s="8">
        <v>3.86</v>
      </c>
      <c r="H5" s="8" t="s">
        <v>11</v>
      </c>
      <c r="I5" s="9">
        <v>0.1</v>
      </c>
      <c r="J5" s="16" t="s">
        <v>57</v>
      </c>
      <c r="K5" s="8">
        <v>4.53</v>
      </c>
      <c r="L5" s="8" t="s">
        <v>20</v>
      </c>
      <c r="M5" s="9">
        <v>0.25</v>
      </c>
      <c r="N5" s="16"/>
      <c r="O5" s="8"/>
      <c r="P5" s="8"/>
      <c r="Q5" s="9"/>
    </row>
  </sheetData>
  <mergeCells count="4">
    <mergeCell ref="B1:E1"/>
    <mergeCell ref="F1:I1"/>
    <mergeCell ref="J1:M1"/>
    <mergeCell ref="N1:Q1"/>
  </mergeCells>
  <pageMargins left="0.7" right="0.7" top="0.75" bottom="0.75" header="0.3" footer="0.3"/>
  <pageSetup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3329-5D94-470B-997C-96591A8826C8}">
  <dimension ref="A1:M8"/>
  <sheetViews>
    <sheetView workbookViewId="0">
      <selection activeCell="D5" sqref="D5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5.54296875" bestFit="1" customWidth="1"/>
    <col min="4" max="4" width="5.26953125" bestFit="1" customWidth="1"/>
    <col min="5" max="5" width="9" bestFit="1" customWidth="1"/>
    <col min="6" max="6" width="5.7265625" bestFit="1" customWidth="1"/>
    <col min="7" max="7" width="5.5429687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5.54296875" bestFit="1" customWidth="1"/>
    <col min="12" max="12" width="5.26953125" bestFit="1" customWidth="1"/>
    <col min="13" max="13" width="9" bestFit="1" customWidth="1"/>
  </cols>
  <sheetData>
    <row r="1" spans="1:13" x14ac:dyDescent="0.35">
      <c r="A1" s="10"/>
      <c r="B1" s="83" t="s">
        <v>1</v>
      </c>
      <c r="C1" s="84"/>
      <c r="D1" s="84"/>
      <c r="E1" s="85"/>
      <c r="F1" s="86" t="s">
        <v>7</v>
      </c>
      <c r="G1" s="84"/>
      <c r="H1" s="84"/>
      <c r="I1" s="85"/>
      <c r="J1" s="86" t="s">
        <v>8</v>
      </c>
      <c r="K1" s="84"/>
      <c r="L1" s="84"/>
      <c r="M1" s="85"/>
    </row>
    <row r="2" spans="1:13" x14ac:dyDescent="0.35">
      <c r="A2" s="11" t="s">
        <v>0</v>
      </c>
      <c r="B2" s="3" t="s">
        <v>2</v>
      </c>
      <c r="C2" s="2" t="s">
        <v>3</v>
      </c>
      <c r="D2" s="2" t="s">
        <v>10</v>
      </c>
      <c r="E2" s="4" t="s">
        <v>4</v>
      </c>
      <c r="F2" s="14" t="s">
        <v>2</v>
      </c>
      <c r="G2" s="2" t="s">
        <v>3</v>
      </c>
      <c r="H2" s="2" t="s">
        <v>10</v>
      </c>
      <c r="I2" s="4" t="s">
        <v>4</v>
      </c>
      <c r="J2" s="14" t="s">
        <v>2</v>
      </c>
      <c r="K2" s="2" t="s">
        <v>3</v>
      </c>
      <c r="L2" s="2" t="s">
        <v>10</v>
      </c>
      <c r="M2" s="4" t="s">
        <v>4</v>
      </c>
    </row>
    <row r="3" spans="1:13" x14ac:dyDescent="0.35">
      <c r="A3" s="64">
        <v>3.73</v>
      </c>
      <c r="B3" s="5" t="s">
        <v>57</v>
      </c>
      <c r="C3" s="65">
        <v>0.15</v>
      </c>
      <c r="D3" s="1" t="s">
        <v>20</v>
      </c>
      <c r="E3" s="66">
        <v>0.01</v>
      </c>
      <c r="F3" s="15"/>
      <c r="G3" s="65"/>
      <c r="H3" s="1"/>
      <c r="I3" s="66"/>
      <c r="J3" s="15"/>
      <c r="K3" s="1"/>
      <c r="L3" s="1"/>
      <c r="M3" s="6"/>
    </row>
    <row r="4" spans="1:13" x14ac:dyDescent="0.35">
      <c r="A4" s="64">
        <v>3.81</v>
      </c>
      <c r="B4" s="5" t="s">
        <v>58</v>
      </c>
      <c r="C4" s="65">
        <v>10.44</v>
      </c>
      <c r="D4" s="1" t="s">
        <v>20</v>
      </c>
      <c r="E4" s="66">
        <v>0.25</v>
      </c>
      <c r="F4" s="15" t="s">
        <v>78</v>
      </c>
      <c r="G4" s="65">
        <v>1.53</v>
      </c>
      <c r="H4" s="1" t="s">
        <v>15</v>
      </c>
      <c r="I4" s="66">
        <v>0.1</v>
      </c>
      <c r="J4" s="15"/>
      <c r="K4" s="1"/>
      <c r="L4" s="1"/>
      <c r="M4" s="6"/>
    </row>
    <row r="5" spans="1:13" x14ac:dyDescent="0.35">
      <c r="A5" s="67">
        <v>3.83</v>
      </c>
      <c r="B5" s="5" t="s">
        <v>78</v>
      </c>
      <c r="C5" s="65">
        <v>2.09</v>
      </c>
      <c r="D5" s="17" t="s">
        <v>79</v>
      </c>
      <c r="E5" s="66">
        <v>0.1</v>
      </c>
      <c r="F5" s="15"/>
      <c r="G5" s="65"/>
      <c r="H5" s="1"/>
      <c r="I5" s="66"/>
      <c r="J5" s="15"/>
      <c r="K5" s="1"/>
      <c r="L5" s="1"/>
      <c r="M5" s="6"/>
    </row>
    <row r="6" spans="1:13" x14ac:dyDescent="0.35">
      <c r="A6" s="18"/>
      <c r="B6" s="5"/>
      <c r="C6" s="1"/>
      <c r="D6" s="17"/>
      <c r="E6" s="6"/>
      <c r="F6" s="15"/>
      <c r="G6" s="1"/>
      <c r="H6" s="1"/>
      <c r="I6" s="6"/>
      <c r="J6" s="15"/>
      <c r="K6" s="1"/>
      <c r="L6" s="1"/>
      <c r="M6" s="6"/>
    </row>
    <row r="7" spans="1:13" x14ac:dyDescent="0.35">
      <c r="A7" s="18"/>
      <c r="B7" s="5"/>
      <c r="C7" s="1"/>
      <c r="D7" s="17"/>
      <c r="E7" s="6"/>
      <c r="F7" s="15"/>
      <c r="G7" s="1"/>
      <c r="H7" s="1"/>
      <c r="I7" s="6"/>
      <c r="J7" s="15"/>
      <c r="K7" s="1"/>
      <c r="L7" s="1"/>
      <c r="M7" s="6"/>
    </row>
    <row r="8" spans="1:13" ht="15" thickBot="1" x14ac:dyDescent="0.4">
      <c r="A8" s="20"/>
      <c r="B8" s="7"/>
      <c r="C8" s="8"/>
      <c r="D8" s="21"/>
      <c r="E8" s="9"/>
      <c r="F8" s="16"/>
      <c r="G8" s="8"/>
      <c r="H8" s="8"/>
      <c r="I8" s="9"/>
      <c r="J8" s="16"/>
      <c r="K8" s="8"/>
      <c r="L8" s="8"/>
      <c r="M8" s="9"/>
    </row>
  </sheetData>
  <mergeCells count="3">
    <mergeCell ref="B1:E1"/>
    <mergeCell ref="F1:I1"/>
    <mergeCell ref="J1:M1"/>
  </mergeCells>
  <pageMargins left="0.7" right="0.7" top="0.75" bottom="0.75" header="0.3" footer="0.3"/>
  <pageSetup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42C4-8FB2-409B-944C-5E47F416977C}">
  <dimension ref="A1:Y7"/>
  <sheetViews>
    <sheetView topLeftCell="R1"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8.08984375" bestFit="1" customWidth="1"/>
    <col min="3" max="3" width="36.36328125" customWidth="1"/>
    <col min="4" max="4" width="5.26953125" bestFit="1" customWidth="1"/>
    <col min="5" max="5" width="9" bestFit="1" customWidth="1"/>
    <col min="6" max="7" width="6.3632812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5.5429687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5.5429687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5.5429687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68" t="s">
        <v>225</v>
      </c>
      <c r="B3" s="46" t="s">
        <v>80</v>
      </c>
      <c r="C3" s="23">
        <v>-10</v>
      </c>
      <c r="D3" s="23" t="s">
        <v>12</v>
      </c>
      <c r="E3" s="71">
        <v>0.25</v>
      </c>
      <c r="F3" s="46"/>
      <c r="G3" s="23"/>
      <c r="H3" s="23"/>
      <c r="I3" s="71"/>
      <c r="J3" s="35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56"/>
      <c r="W3" s="23"/>
      <c r="X3" s="23"/>
      <c r="Y3" s="73"/>
    </row>
    <row r="4" spans="1:25" x14ac:dyDescent="0.35">
      <c r="A4" s="68" t="s">
        <v>226</v>
      </c>
      <c r="B4" s="46" t="s">
        <v>81</v>
      </c>
      <c r="C4" s="23" t="s">
        <v>82</v>
      </c>
      <c r="D4" s="23" t="s">
        <v>83</v>
      </c>
      <c r="E4" s="71"/>
      <c r="F4" s="46"/>
      <c r="G4" s="23"/>
      <c r="H4" s="23"/>
      <c r="I4" s="71"/>
      <c r="J4" s="35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25" x14ac:dyDescent="0.35">
      <c r="A5" s="69" t="s">
        <v>227</v>
      </c>
      <c r="B5" s="46" t="s">
        <v>84</v>
      </c>
      <c r="C5" s="23" t="s">
        <v>85</v>
      </c>
      <c r="D5" s="31"/>
      <c r="E5" s="71"/>
      <c r="F5" s="46" t="s">
        <v>86</v>
      </c>
      <c r="G5" s="23">
        <v>1</v>
      </c>
      <c r="H5" s="23"/>
      <c r="I5" s="71">
        <v>0.05</v>
      </c>
      <c r="J5" s="35"/>
      <c r="K5" s="23"/>
      <c r="L5" s="23"/>
      <c r="M5" s="23"/>
      <c r="N5" s="23"/>
      <c r="O5" s="23"/>
      <c r="P5" s="31"/>
      <c r="Q5" s="23"/>
      <c r="R5" s="23"/>
      <c r="S5" s="23"/>
      <c r="T5" s="23"/>
      <c r="U5" s="23"/>
      <c r="V5" s="56"/>
      <c r="W5" s="23"/>
      <c r="X5" s="23"/>
      <c r="Y5" s="73"/>
    </row>
    <row r="6" spans="1:25" x14ac:dyDescent="0.35">
      <c r="A6" s="70" t="s">
        <v>228</v>
      </c>
      <c r="B6" s="48" t="s">
        <v>87</v>
      </c>
      <c r="C6" s="24">
        <v>16</v>
      </c>
      <c r="D6" s="28" t="s">
        <v>88</v>
      </c>
      <c r="E6" s="72">
        <v>0.5</v>
      </c>
      <c r="F6" s="48"/>
      <c r="G6" s="24"/>
      <c r="H6" s="24"/>
      <c r="I6" s="72"/>
      <c r="J6" s="36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58"/>
      <c r="W6" s="24"/>
      <c r="X6" s="24"/>
      <c r="Y6" s="74"/>
    </row>
    <row r="7" spans="1:25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B062-4FDC-4A39-AC5F-1969F60D33F7}">
  <dimension ref="A1:Y7"/>
  <sheetViews>
    <sheetView topLeftCell="R1"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6.1796875" bestFit="1" customWidth="1"/>
    <col min="4" max="4" width="5.26953125" bestFit="1" customWidth="1"/>
    <col min="5" max="5" width="9" bestFit="1" customWidth="1"/>
    <col min="6" max="6" width="5.7265625" bestFit="1" customWidth="1"/>
    <col min="7" max="7" width="6.3632812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5.5429687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5.5429687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5.5429687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68" t="s">
        <v>229</v>
      </c>
      <c r="B3" s="46" t="s">
        <v>89</v>
      </c>
      <c r="C3" s="23" t="s">
        <v>90</v>
      </c>
      <c r="D3" s="23"/>
      <c r="E3" s="71"/>
      <c r="F3" s="46" t="s">
        <v>87</v>
      </c>
      <c r="G3" s="23">
        <v>180</v>
      </c>
      <c r="H3" s="23" t="s">
        <v>88</v>
      </c>
      <c r="I3" s="71">
        <v>5</v>
      </c>
      <c r="J3" s="35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56"/>
      <c r="W3" s="23"/>
      <c r="X3" s="23"/>
      <c r="Y3" s="73"/>
    </row>
    <row r="4" spans="1:25" x14ac:dyDescent="0.35">
      <c r="A4" s="68" t="s">
        <v>230</v>
      </c>
      <c r="B4" s="46" t="s">
        <v>84</v>
      </c>
      <c r="C4" s="23">
        <v>0.4</v>
      </c>
      <c r="D4" s="23"/>
      <c r="E4" s="71">
        <v>0.02</v>
      </c>
      <c r="F4" s="46"/>
      <c r="G4" s="23"/>
      <c r="H4" s="23"/>
      <c r="I4" s="71"/>
      <c r="J4" s="35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25" x14ac:dyDescent="0.35">
      <c r="A5" s="41"/>
      <c r="B5" s="46"/>
      <c r="C5" s="27"/>
      <c r="D5" s="31"/>
      <c r="E5" s="47"/>
      <c r="F5" s="46"/>
      <c r="G5" s="27"/>
      <c r="H5" s="23"/>
      <c r="I5" s="47"/>
      <c r="J5" s="35"/>
      <c r="K5" s="27"/>
      <c r="L5" s="23"/>
      <c r="M5" s="27"/>
      <c r="N5" s="23"/>
      <c r="O5" s="27"/>
      <c r="P5" s="31"/>
      <c r="Q5" s="27"/>
      <c r="R5" s="23"/>
      <c r="S5" s="27"/>
      <c r="T5" s="23"/>
      <c r="U5" s="27"/>
      <c r="V5" s="56"/>
      <c r="W5" s="27"/>
      <c r="X5" s="23"/>
      <c r="Y5" s="57"/>
    </row>
    <row r="6" spans="1:25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25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A987-BDB8-4D84-AC6F-893515BFEC36}">
  <dimension ref="A1:Y7"/>
  <sheetViews>
    <sheetView topLeftCell="R1"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18.36328125" bestFit="1" customWidth="1"/>
    <col min="4" max="4" width="5.26953125" bestFit="1" customWidth="1"/>
    <col min="5" max="5" width="9" bestFit="1" customWidth="1"/>
    <col min="6" max="6" width="6.26953125" bestFit="1" customWidth="1"/>
    <col min="7" max="7" width="7" bestFit="1" customWidth="1"/>
    <col min="8" max="8" width="5.26953125" bestFit="1" customWidth="1"/>
    <col min="9" max="9" width="9" bestFit="1" customWidth="1"/>
    <col min="10" max="10" width="6.6328125" bestFit="1" customWidth="1"/>
    <col min="11" max="11" width="6.3632812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5.5429687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5.5429687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68" t="s">
        <v>231</v>
      </c>
      <c r="B3" s="46" t="s">
        <v>80</v>
      </c>
      <c r="C3" s="23" t="s">
        <v>91</v>
      </c>
      <c r="D3" s="23" t="s">
        <v>12</v>
      </c>
      <c r="E3" s="71"/>
      <c r="F3" s="46"/>
      <c r="G3" s="23"/>
      <c r="H3" s="23"/>
      <c r="I3" s="71"/>
      <c r="J3" s="35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56"/>
      <c r="W3" s="23"/>
      <c r="X3" s="23"/>
      <c r="Y3" s="73"/>
    </row>
    <row r="4" spans="1:25" x14ac:dyDescent="0.35">
      <c r="A4" s="68" t="s">
        <v>232</v>
      </c>
      <c r="B4" s="46" t="s">
        <v>92</v>
      </c>
      <c r="C4" s="23" t="s">
        <v>93</v>
      </c>
      <c r="D4" s="23" t="s">
        <v>12</v>
      </c>
      <c r="E4" s="71"/>
      <c r="F4" s="46" t="s">
        <v>94</v>
      </c>
      <c r="G4" s="23">
        <v>-1.8</v>
      </c>
      <c r="H4" s="23" t="s">
        <v>12</v>
      </c>
      <c r="I4" s="71">
        <v>0.1</v>
      </c>
      <c r="J4" s="35" t="s">
        <v>95</v>
      </c>
      <c r="K4" s="23">
        <v>3</v>
      </c>
      <c r="L4" s="23" t="s">
        <v>12</v>
      </c>
      <c r="M4" s="23">
        <v>0.1</v>
      </c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25" x14ac:dyDescent="0.35">
      <c r="A5" s="41"/>
      <c r="B5" s="46"/>
      <c r="C5" s="27"/>
      <c r="D5" s="31"/>
      <c r="E5" s="47"/>
      <c r="F5" s="46"/>
      <c r="G5" s="27"/>
      <c r="H5" s="23"/>
      <c r="I5" s="47"/>
      <c r="J5" s="35"/>
      <c r="K5" s="27"/>
      <c r="L5" s="23"/>
      <c r="M5" s="27"/>
      <c r="N5" s="23"/>
      <c r="O5" s="27"/>
      <c r="P5" s="31"/>
      <c r="Q5" s="27"/>
      <c r="R5" s="23"/>
      <c r="S5" s="27"/>
      <c r="T5" s="23"/>
      <c r="U5" s="27"/>
      <c r="V5" s="56"/>
      <c r="W5" s="27"/>
      <c r="X5" s="23"/>
      <c r="Y5" s="57"/>
    </row>
    <row r="6" spans="1:25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25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65C6-56C6-4BAD-A8F3-112050D9B19A}">
  <dimension ref="A1:Y8"/>
  <sheetViews>
    <sheetView topLeftCell="R1"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7.26953125" bestFit="1" customWidth="1"/>
    <col min="3" max="3" width="36.36328125" customWidth="1"/>
    <col min="4" max="4" width="5.26953125" bestFit="1" customWidth="1"/>
    <col min="5" max="5" width="9" bestFit="1" customWidth="1"/>
    <col min="6" max="6" width="7.26953125" bestFit="1" customWidth="1"/>
    <col min="7" max="7" width="36.36328125" customWidth="1"/>
    <col min="8" max="8" width="5.26953125" bestFit="1" customWidth="1"/>
    <col min="9" max="9" width="9" bestFit="1" customWidth="1"/>
    <col min="10" max="10" width="7.26953125" bestFit="1" customWidth="1"/>
    <col min="11" max="11" width="36.36328125" customWidth="1"/>
    <col min="12" max="12" width="5.26953125" bestFit="1" customWidth="1"/>
    <col min="13" max="13" width="9" bestFit="1" customWidth="1"/>
    <col min="14" max="14" width="7.26953125" bestFit="1" customWidth="1"/>
    <col min="15" max="15" width="36.36328125" customWidth="1"/>
    <col min="16" max="16" width="5.26953125" bestFit="1" customWidth="1"/>
    <col min="17" max="17" width="9" bestFit="1" customWidth="1"/>
    <col min="18" max="18" width="5.7265625" bestFit="1" customWidth="1"/>
    <col min="19" max="19" width="5.5429687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68" t="s">
        <v>233</v>
      </c>
      <c r="B3" s="46" t="s">
        <v>96</v>
      </c>
      <c r="C3" s="23" t="s">
        <v>97</v>
      </c>
      <c r="D3" s="23"/>
      <c r="E3" s="71"/>
      <c r="F3" s="46"/>
      <c r="G3" s="23"/>
      <c r="H3" s="23"/>
      <c r="I3" s="71"/>
      <c r="J3" s="35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56"/>
      <c r="W3" s="23"/>
      <c r="X3" s="23"/>
      <c r="Y3" s="73"/>
    </row>
    <row r="4" spans="1:25" x14ac:dyDescent="0.35">
      <c r="A4" s="68" t="s">
        <v>234</v>
      </c>
      <c r="B4" s="46" t="s">
        <v>98</v>
      </c>
      <c r="C4" s="23" t="s">
        <v>99</v>
      </c>
      <c r="D4" s="23" t="s">
        <v>12</v>
      </c>
      <c r="E4" s="71"/>
      <c r="F4" s="46"/>
      <c r="G4" s="23"/>
      <c r="H4" s="23"/>
      <c r="I4" s="71"/>
      <c r="J4" s="35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25" x14ac:dyDescent="0.35">
      <c r="A5" s="69" t="s">
        <v>235</v>
      </c>
      <c r="B5" s="46" t="s">
        <v>100</v>
      </c>
      <c r="C5" s="23">
        <v>12</v>
      </c>
      <c r="D5" s="31" t="s">
        <v>12</v>
      </c>
      <c r="E5" s="71">
        <v>0.25</v>
      </c>
      <c r="F5" s="46" t="s">
        <v>101</v>
      </c>
      <c r="G5" s="23">
        <v>2</v>
      </c>
      <c r="H5" s="23" t="s">
        <v>102</v>
      </c>
      <c r="I5" s="71">
        <v>0.1</v>
      </c>
      <c r="J5" s="35"/>
      <c r="K5" s="23"/>
      <c r="L5" s="23"/>
      <c r="M5" s="23"/>
      <c r="N5" s="23"/>
      <c r="O5" s="23"/>
      <c r="P5" s="31"/>
      <c r="Q5" s="23"/>
      <c r="R5" s="23"/>
      <c r="S5" s="23"/>
      <c r="T5" s="23"/>
      <c r="U5" s="23"/>
      <c r="V5" s="56"/>
      <c r="W5" s="23"/>
      <c r="X5" s="23"/>
      <c r="Y5" s="73"/>
    </row>
    <row r="6" spans="1:25" ht="29" x14ac:dyDescent="0.35">
      <c r="A6" s="70" t="s">
        <v>236</v>
      </c>
      <c r="B6" s="48" t="s">
        <v>103</v>
      </c>
      <c r="C6" s="24" t="s">
        <v>104</v>
      </c>
      <c r="D6" s="28"/>
      <c r="E6" s="72"/>
      <c r="F6" s="48" t="s">
        <v>105</v>
      </c>
      <c r="G6" s="24" t="s">
        <v>106</v>
      </c>
      <c r="H6" s="24"/>
      <c r="I6" s="72"/>
      <c r="J6" s="36" t="s">
        <v>107</v>
      </c>
      <c r="K6" s="24" t="s">
        <v>108</v>
      </c>
      <c r="L6" s="24"/>
      <c r="M6" s="24"/>
      <c r="N6" s="24" t="s">
        <v>109</v>
      </c>
      <c r="O6" s="24" t="s">
        <v>110</v>
      </c>
      <c r="P6" s="24"/>
      <c r="Q6" s="24"/>
      <c r="R6" s="24"/>
      <c r="S6" s="24"/>
      <c r="T6" s="24"/>
      <c r="U6" s="24"/>
      <c r="V6" s="58"/>
      <c r="W6" s="24"/>
      <c r="X6" s="24"/>
      <c r="Y6" s="74"/>
    </row>
    <row r="7" spans="1:25" ht="15" thickBot="1" x14ac:dyDescent="0.4">
      <c r="A7" s="75" t="s">
        <v>237</v>
      </c>
      <c r="B7" s="50" t="s">
        <v>98</v>
      </c>
      <c r="C7" s="52" t="s">
        <v>111</v>
      </c>
      <c r="D7" s="52"/>
      <c r="E7" s="78"/>
      <c r="F7" s="50" t="s">
        <v>112</v>
      </c>
      <c r="G7" s="52" t="s">
        <v>113</v>
      </c>
      <c r="H7" s="52"/>
      <c r="I7" s="78"/>
      <c r="J7" s="37" t="s">
        <v>114</v>
      </c>
      <c r="K7" s="32" t="s">
        <v>115</v>
      </c>
      <c r="L7" s="32"/>
      <c r="M7" s="79"/>
      <c r="N7" s="29"/>
      <c r="O7" s="32"/>
      <c r="P7" s="32"/>
      <c r="Q7" s="79"/>
      <c r="R7" s="29"/>
      <c r="S7" s="32"/>
      <c r="T7" s="32"/>
      <c r="U7" s="79"/>
      <c r="V7" s="60"/>
      <c r="W7" s="62"/>
      <c r="X7" s="62"/>
      <c r="Y7" s="80"/>
    </row>
    <row r="8" spans="1:25" x14ac:dyDescent="0.35">
      <c r="A8" s="76" t="s">
        <v>238</v>
      </c>
      <c r="B8" t="s">
        <v>13</v>
      </c>
      <c r="C8" s="77">
        <v>-0.6</v>
      </c>
      <c r="D8" t="s">
        <v>12</v>
      </c>
      <c r="E8">
        <v>0.1</v>
      </c>
      <c r="F8" t="s">
        <v>14</v>
      </c>
      <c r="G8" s="77">
        <v>2.2000000000000002</v>
      </c>
      <c r="H8" t="s">
        <v>12</v>
      </c>
      <c r="I8">
        <v>0.1</v>
      </c>
      <c r="K8" s="77"/>
      <c r="O8" s="77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1F3D-808E-4A79-A521-0347DD5D1A08}">
  <dimension ref="A1:Y7"/>
  <sheetViews>
    <sheetView topLeftCell="R1"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36.36328125" customWidth="1"/>
    <col min="4" max="4" width="5.26953125" bestFit="1" customWidth="1"/>
    <col min="5" max="5" width="9" bestFit="1" customWidth="1"/>
    <col min="6" max="6" width="5.7265625" bestFit="1" customWidth="1"/>
    <col min="7" max="7" width="6.3632812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6.3632812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6.3632812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5.5429687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ht="29" x14ac:dyDescent="0.35">
      <c r="A3" s="68" t="s">
        <v>239</v>
      </c>
      <c r="B3" s="46" t="s">
        <v>116</v>
      </c>
      <c r="C3" s="23" t="s">
        <v>117</v>
      </c>
      <c r="D3" s="23" t="s">
        <v>29</v>
      </c>
      <c r="E3" s="71"/>
      <c r="F3" s="46"/>
      <c r="G3" s="23"/>
      <c r="H3" s="23"/>
      <c r="I3" s="71"/>
      <c r="J3" s="35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56"/>
      <c r="W3" s="23"/>
      <c r="X3" s="23"/>
      <c r="Y3" s="73"/>
    </row>
    <row r="4" spans="1:25" x14ac:dyDescent="0.35">
      <c r="A4" s="68" t="s">
        <v>240</v>
      </c>
      <c r="B4" s="46" t="s">
        <v>118</v>
      </c>
      <c r="C4" s="23">
        <v>7.5</v>
      </c>
      <c r="D4" s="23" t="s">
        <v>12</v>
      </c>
      <c r="E4" s="71">
        <v>0.25</v>
      </c>
      <c r="F4" s="46" t="s">
        <v>119</v>
      </c>
      <c r="G4" s="23">
        <v>1.5</v>
      </c>
      <c r="H4" s="23" t="s">
        <v>11</v>
      </c>
      <c r="I4" s="71">
        <v>0.1</v>
      </c>
      <c r="J4" s="35" t="s">
        <v>120</v>
      </c>
      <c r="K4" s="23">
        <v>0.5</v>
      </c>
      <c r="L4" s="23" t="s">
        <v>11</v>
      </c>
      <c r="M4" s="23">
        <v>0.1</v>
      </c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25" x14ac:dyDescent="0.35">
      <c r="A5" s="69" t="s">
        <v>241</v>
      </c>
      <c r="B5" s="46" t="s">
        <v>121</v>
      </c>
      <c r="C5" s="23">
        <v>20</v>
      </c>
      <c r="D5" s="31" t="s">
        <v>12</v>
      </c>
      <c r="E5" s="71">
        <v>0.25</v>
      </c>
      <c r="F5" s="46" t="s">
        <v>122</v>
      </c>
      <c r="G5" s="23">
        <v>12</v>
      </c>
      <c r="H5" s="23" t="s">
        <v>12</v>
      </c>
      <c r="I5" s="71">
        <v>0.25</v>
      </c>
      <c r="J5" s="35" t="s">
        <v>119</v>
      </c>
      <c r="K5" s="23">
        <v>0</v>
      </c>
      <c r="L5" s="23" t="s">
        <v>11</v>
      </c>
      <c r="M5" s="23">
        <v>0.05</v>
      </c>
      <c r="N5" s="23" t="s">
        <v>120</v>
      </c>
      <c r="O5" s="23">
        <v>2</v>
      </c>
      <c r="P5" s="31" t="s">
        <v>11</v>
      </c>
      <c r="Q5" s="23">
        <v>0.1</v>
      </c>
      <c r="R5" s="23"/>
      <c r="S5" s="23"/>
      <c r="T5" s="23"/>
      <c r="U5" s="23"/>
      <c r="V5" s="56"/>
      <c r="W5" s="23"/>
      <c r="X5" s="23"/>
      <c r="Y5" s="73"/>
    </row>
    <row r="6" spans="1:25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25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79BA-AD0C-4CE3-9D44-45BFE9AE7844}">
  <dimension ref="A1:AG7"/>
  <sheetViews>
    <sheetView topLeftCell="R1"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6.36328125" bestFit="1" customWidth="1"/>
    <col min="4" max="4" width="5.26953125" bestFit="1" customWidth="1"/>
    <col min="5" max="5" width="9" bestFit="1" customWidth="1"/>
    <col min="6" max="6" width="6.08984375" bestFit="1" customWidth="1"/>
    <col min="7" max="7" width="6.3632812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6.3632812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6.36328125" bestFit="1" customWidth="1"/>
    <col min="16" max="16" width="5.26953125" bestFit="1" customWidth="1"/>
    <col min="17" max="17" width="9" bestFit="1" customWidth="1"/>
    <col min="18" max="18" width="5.81640625" bestFit="1" customWidth="1"/>
    <col min="19" max="19" width="6.36328125" bestFit="1" customWidth="1"/>
    <col min="20" max="20" width="5.26953125" bestFit="1" customWidth="1"/>
    <col min="21" max="21" width="9" bestFit="1" customWidth="1"/>
    <col min="22" max="22" width="6.453125" bestFit="1" customWidth="1"/>
    <col min="23" max="23" width="6.36328125" bestFit="1" customWidth="1"/>
    <col min="24" max="24" width="5.26953125" bestFit="1" customWidth="1"/>
    <col min="25" max="25" width="9" bestFit="1" customWidth="1"/>
    <col min="26" max="26" width="5.7265625" bestFit="1" customWidth="1"/>
    <col min="27" max="27" width="9.6328125" bestFit="1" customWidth="1"/>
    <col min="28" max="28" width="5.26953125" bestFit="1" customWidth="1"/>
    <col min="29" max="29" width="8" bestFit="1" customWidth="1"/>
    <col min="30" max="30" width="5.7265625" bestFit="1" customWidth="1"/>
    <col min="31" max="31" width="9.1796875" bestFit="1" customWidth="1"/>
    <col min="32" max="32" width="5.26953125" bestFit="1" customWidth="1"/>
    <col min="33" max="33" width="8" bestFit="1" customWidth="1"/>
  </cols>
  <sheetData>
    <row r="1" spans="1:33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  <c r="Z1" s="97" t="s">
        <v>123</v>
      </c>
      <c r="AA1" s="98"/>
      <c r="AB1" s="98"/>
      <c r="AC1" s="99"/>
      <c r="AD1" s="97" t="s">
        <v>124</v>
      </c>
      <c r="AE1" s="98"/>
      <c r="AF1" s="98"/>
      <c r="AG1" s="99"/>
    </row>
    <row r="2" spans="1:33" ht="29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  <c r="Z2" s="54" t="s">
        <v>2</v>
      </c>
      <c r="AA2" s="26" t="s">
        <v>3</v>
      </c>
      <c r="AB2" s="26" t="s">
        <v>10</v>
      </c>
      <c r="AC2" s="55" t="s">
        <v>4</v>
      </c>
      <c r="AD2" s="54" t="s">
        <v>2</v>
      </c>
      <c r="AE2" s="26" t="s">
        <v>3</v>
      </c>
      <c r="AF2" s="26" t="s">
        <v>10</v>
      </c>
      <c r="AG2" s="55" t="s">
        <v>4</v>
      </c>
    </row>
    <row r="3" spans="1:33" x14ac:dyDescent="0.35">
      <c r="A3" s="68" t="s">
        <v>242</v>
      </c>
      <c r="B3" s="46" t="s">
        <v>125</v>
      </c>
      <c r="C3" s="23">
        <v>0</v>
      </c>
      <c r="D3" s="23" t="s">
        <v>11</v>
      </c>
      <c r="E3" s="71">
        <v>0.01</v>
      </c>
      <c r="F3" s="46" t="s">
        <v>126</v>
      </c>
      <c r="G3" s="23">
        <v>0</v>
      </c>
      <c r="H3" s="23" t="s">
        <v>12</v>
      </c>
      <c r="I3" s="71">
        <v>0.01</v>
      </c>
      <c r="J3" s="35" t="s">
        <v>127</v>
      </c>
      <c r="K3" s="23">
        <v>0</v>
      </c>
      <c r="L3" s="23" t="s">
        <v>11</v>
      </c>
      <c r="M3" s="23">
        <v>0.01</v>
      </c>
      <c r="N3" s="23" t="s">
        <v>128</v>
      </c>
      <c r="O3" s="23">
        <v>0</v>
      </c>
      <c r="P3" s="23" t="s">
        <v>12</v>
      </c>
      <c r="Q3" s="23">
        <v>0.01</v>
      </c>
      <c r="R3" s="23" t="s">
        <v>129</v>
      </c>
      <c r="S3" s="23">
        <v>0</v>
      </c>
      <c r="T3" s="23" t="s">
        <v>11</v>
      </c>
      <c r="U3" s="23">
        <v>0.01</v>
      </c>
      <c r="V3" s="56" t="s">
        <v>130</v>
      </c>
      <c r="W3" s="23">
        <v>8</v>
      </c>
      <c r="X3" s="23" t="s">
        <v>12</v>
      </c>
      <c r="Y3" s="73">
        <v>0.25</v>
      </c>
      <c r="Z3" t="s">
        <v>131</v>
      </c>
      <c r="AA3" t="s">
        <v>132</v>
      </c>
      <c r="AB3" t="s">
        <v>12</v>
      </c>
      <c r="AD3" t="s">
        <v>133</v>
      </c>
      <c r="AE3" t="s">
        <v>134</v>
      </c>
      <c r="AF3" t="s">
        <v>29</v>
      </c>
    </row>
    <row r="4" spans="1:33" x14ac:dyDescent="0.35">
      <c r="A4" s="68" t="s">
        <v>243</v>
      </c>
      <c r="B4" s="46" t="s">
        <v>116</v>
      </c>
      <c r="C4" s="23">
        <v>0</v>
      </c>
      <c r="D4" s="23" t="s">
        <v>11</v>
      </c>
      <c r="E4" s="71">
        <v>0.01</v>
      </c>
      <c r="F4" s="46"/>
      <c r="G4" s="23"/>
      <c r="H4" s="23"/>
      <c r="I4" s="71"/>
      <c r="J4" s="35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33" x14ac:dyDescent="0.35">
      <c r="A5" s="41"/>
      <c r="B5" s="46"/>
      <c r="C5" s="27"/>
      <c r="D5" s="31"/>
      <c r="E5" s="47"/>
      <c r="F5" s="46"/>
      <c r="G5" s="27"/>
      <c r="H5" s="23"/>
      <c r="I5" s="47"/>
      <c r="J5" s="35"/>
      <c r="K5" s="27"/>
      <c r="L5" s="23"/>
      <c r="M5" s="27"/>
      <c r="N5" s="23"/>
      <c r="O5" s="27"/>
      <c r="P5" s="31"/>
      <c r="Q5" s="27"/>
      <c r="R5" s="23"/>
      <c r="S5" s="27"/>
      <c r="T5" s="23"/>
      <c r="U5" s="27"/>
      <c r="V5" s="56"/>
      <c r="W5" s="27"/>
      <c r="X5" s="23"/>
      <c r="Y5" s="57"/>
    </row>
    <row r="6" spans="1:33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33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8">
    <mergeCell ref="Z1:AC1"/>
    <mergeCell ref="AD1:AG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CEF1-3223-4C40-B2DE-75F70BB01005}">
  <dimension ref="A1:AO7"/>
  <sheetViews>
    <sheetView topLeftCell="AC1" workbookViewId="0">
      <selection activeCell="AK7" sqref="AK7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14.81640625" bestFit="1" customWidth="1"/>
    <col min="4" max="4" width="5.26953125" bestFit="1" customWidth="1"/>
    <col min="5" max="5" width="9" bestFit="1" customWidth="1"/>
    <col min="6" max="6" width="5.7265625" bestFit="1" customWidth="1"/>
    <col min="7" max="7" width="6.3632812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6.3632812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6.3632812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6" bestFit="1" customWidth="1"/>
    <col min="20" max="20" width="5.26953125" bestFit="1" customWidth="1"/>
    <col min="21" max="21" width="9" bestFit="1" customWidth="1"/>
    <col min="22" max="22" width="6.08984375" bestFit="1" customWidth="1"/>
    <col min="23" max="23" width="6.36328125" bestFit="1" customWidth="1"/>
    <col min="24" max="24" width="5.26953125" bestFit="1" customWidth="1"/>
    <col min="25" max="25" width="9" bestFit="1" customWidth="1"/>
    <col min="26" max="26" width="5.7265625" bestFit="1" customWidth="1"/>
    <col min="27" max="27" width="5.54296875" bestFit="1" customWidth="1"/>
    <col min="28" max="28" width="5.26953125" bestFit="1" customWidth="1"/>
    <col min="29" max="29" width="8" bestFit="1" customWidth="1"/>
    <col min="30" max="30" width="5.7265625" bestFit="1" customWidth="1"/>
    <col min="31" max="31" width="5.54296875" bestFit="1" customWidth="1"/>
    <col min="32" max="32" width="5.26953125" bestFit="1" customWidth="1"/>
    <col min="33" max="33" width="8" bestFit="1" customWidth="1"/>
    <col min="34" max="34" width="5.7265625" bestFit="1" customWidth="1"/>
    <col min="35" max="35" width="12.54296875" bestFit="1" customWidth="1"/>
    <col min="36" max="36" width="5.26953125" bestFit="1" customWidth="1"/>
    <col min="37" max="37" width="8" bestFit="1" customWidth="1"/>
    <col min="38" max="38" width="5.7265625" bestFit="1" customWidth="1"/>
    <col min="39" max="39" width="8.08984375" bestFit="1" customWidth="1"/>
    <col min="40" max="40" width="5.26953125" bestFit="1" customWidth="1"/>
    <col min="41" max="41" width="8" bestFit="1" customWidth="1"/>
  </cols>
  <sheetData>
    <row r="1" spans="1:41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  <c r="Z1" s="97" t="s">
        <v>123</v>
      </c>
      <c r="AA1" s="98"/>
      <c r="AB1" s="98"/>
      <c r="AC1" s="99"/>
      <c r="AD1" s="97" t="s">
        <v>124</v>
      </c>
      <c r="AE1" s="98"/>
      <c r="AF1" s="98"/>
      <c r="AG1" s="99"/>
      <c r="AH1" s="97" t="s">
        <v>135</v>
      </c>
      <c r="AI1" s="98"/>
      <c r="AJ1" s="98"/>
      <c r="AK1" s="99"/>
      <c r="AL1" s="97" t="s">
        <v>136</v>
      </c>
      <c r="AM1" s="98"/>
      <c r="AN1" s="98"/>
      <c r="AO1" s="99"/>
    </row>
    <row r="2" spans="1:41" ht="29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  <c r="Z2" s="54" t="s">
        <v>2</v>
      </c>
      <c r="AA2" s="26" t="s">
        <v>3</v>
      </c>
      <c r="AB2" s="26" t="s">
        <v>10</v>
      </c>
      <c r="AC2" s="55" t="s">
        <v>4</v>
      </c>
      <c r="AD2" s="54" t="s">
        <v>2</v>
      </c>
      <c r="AE2" s="26" t="s">
        <v>3</v>
      </c>
      <c r="AF2" s="26" t="s">
        <v>10</v>
      </c>
      <c r="AG2" s="55" t="s">
        <v>4</v>
      </c>
      <c r="AH2" s="54" t="s">
        <v>2</v>
      </c>
      <c r="AI2" s="26" t="s">
        <v>3</v>
      </c>
      <c r="AJ2" s="26" t="s">
        <v>10</v>
      </c>
      <c r="AK2" s="55" t="s">
        <v>4</v>
      </c>
      <c r="AL2" s="54" t="s">
        <v>2</v>
      </c>
      <c r="AM2" s="26" t="s">
        <v>3</v>
      </c>
      <c r="AN2" s="26" t="s">
        <v>10</v>
      </c>
      <c r="AO2" s="55" t="s">
        <v>4</v>
      </c>
    </row>
    <row r="3" spans="1:41" x14ac:dyDescent="0.35">
      <c r="A3" s="68" t="s">
        <v>244</v>
      </c>
      <c r="B3" s="46" t="s">
        <v>137</v>
      </c>
      <c r="C3" s="23">
        <v>0</v>
      </c>
      <c r="D3" s="23" t="s">
        <v>11</v>
      </c>
      <c r="E3" s="71">
        <v>0.01</v>
      </c>
      <c r="F3" s="46" t="s">
        <v>138</v>
      </c>
      <c r="G3" s="23">
        <v>0</v>
      </c>
      <c r="H3" s="23" t="s">
        <v>12</v>
      </c>
      <c r="I3" s="71">
        <v>0.01</v>
      </c>
      <c r="J3" s="35" t="s">
        <v>139</v>
      </c>
      <c r="K3" s="23">
        <v>0</v>
      </c>
      <c r="L3" s="23" t="s">
        <v>11</v>
      </c>
      <c r="M3" s="23">
        <v>0.01</v>
      </c>
      <c r="N3" s="23" t="s">
        <v>140</v>
      </c>
      <c r="O3" s="23">
        <v>8</v>
      </c>
      <c r="P3" s="23" t="s">
        <v>12</v>
      </c>
      <c r="Q3" s="23">
        <v>0.25</v>
      </c>
      <c r="R3" s="23" t="s">
        <v>141</v>
      </c>
      <c r="S3" s="23">
        <v>0.4</v>
      </c>
      <c r="T3" s="23" t="s">
        <v>11</v>
      </c>
      <c r="U3" s="23">
        <v>0.05</v>
      </c>
      <c r="V3" s="56" t="s">
        <v>142</v>
      </c>
      <c r="W3" s="23">
        <v>0</v>
      </c>
      <c r="X3" s="23" t="s">
        <v>12</v>
      </c>
      <c r="Y3" s="73">
        <v>0.01</v>
      </c>
      <c r="Z3" t="s">
        <v>19</v>
      </c>
      <c r="AA3">
        <v>20</v>
      </c>
      <c r="AB3" t="s">
        <v>20</v>
      </c>
      <c r="AC3">
        <v>0.5</v>
      </c>
      <c r="AD3" t="s">
        <v>101</v>
      </c>
      <c r="AE3">
        <v>0.01</v>
      </c>
      <c r="AF3" t="s">
        <v>102</v>
      </c>
      <c r="AG3">
        <v>1E-3</v>
      </c>
      <c r="AH3" t="s">
        <v>143</v>
      </c>
      <c r="AI3" t="s">
        <v>144</v>
      </c>
      <c r="AJ3" t="s">
        <v>11</v>
      </c>
      <c r="AL3" t="s">
        <v>145</v>
      </c>
      <c r="AM3" t="s">
        <v>146</v>
      </c>
      <c r="AN3" t="s">
        <v>12</v>
      </c>
    </row>
    <row r="4" spans="1:41" x14ac:dyDescent="0.35">
      <c r="A4" s="68" t="s">
        <v>245</v>
      </c>
      <c r="B4" s="46" t="s">
        <v>143</v>
      </c>
      <c r="C4" s="23" t="s">
        <v>147</v>
      </c>
      <c r="D4" s="23" t="s">
        <v>11</v>
      </c>
      <c r="E4" s="71"/>
      <c r="F4" s="46"/>
      <c r="G4" s="23"/>
      <c r="H4" s="23"/>
      <c r="I4" s="71"/>
      <c r="J4" s="35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41" x14ac:dyDescent="0.35">
      <c r="A5" s="41"/>
      <c r="B5" s="46"/>
      <c r="C5" s="27"/>
      <c r="D5" s="31"/>
      <c r="E5" s="47"/>
      <c r="F5" s="46"/>
      <c r="G5" s="27"/>
      <c r="H5" s="23"/>
      <c r="I5" s="47"/>
      <c r="J5" s="35"/>
      <c r="K5" s="27"/>
      <c r="L5" s="23"/>
      <c r="M5" s="27"/>
      <c r="N5" s="23"/>
      <c r="O5" s="27"/>
      <c r="P5" s="31"/>
      <c r="Q5" s="27"/>
      <c r="R5" s="23"/>
      <c r="S5" s="27"/>
      <c r="T5" s="23"/>
      <c r="U5" s="27"/>
      <c r="V5" s="56"/>
      <c r="W5" s="27"/>
      <c r="X5" s="23"/>
      <c r="Y5" s="57"/>
    </row>
    <row r="6" spans="1:41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41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10">
    <mergeCell ref="Z1:AC1"/>
    <mergeCell ref="AD1:AG1"/>
    <mergeCell ref="AH1:AK1"/>
    <mergeCell ref="AL1:AO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5759-9804-465F-8D25-8A38574BCA0D}">
  <dimension ref="A1:Y7"/>
  <sheetViews>
    <sheetView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7.36328125" bestFit="1" customWidth="1"/>
    <col min="3" max="3" width="24.08984375" bestFit="1" customWidth="1"/>
    <col min="4" max="4" width="5.26953125" bestFit="1" customWidth="1"/>
    <col min="5" max="5" width="9" bestFit="1" customWidth="1"/>
    <col min="6" max="6" width="5.7265625" bestFit="1" customWidth="1"/>
    <col min="7" max="7" width="6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5.5429687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5.5429687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5.5429687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68" t="s">
        <v>246</v>
      </c>
      <c r="B3" s="46" t="s">
        <v>148</v>
      </c>
      <c r="C3" s="23" t="s">
        <v>149</v>
      </c>
      <c r="D3" s="23" t="s">
        <v>12</v>
      </c>
      <c r="E3" s="71"/>
      <c r="F3" s="46"/>
      <c r="G3" s="23"/>
      <c r="H3" s="23"/>
      <c r="I3" s="71"/>
      <c r="J3" s="35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56"/>
      <c r="W3" s="23"/>
      <c r="X3" s="23"/>
      <c r="Y3" s="73"/>
    </row>
    <row r="4" spans="1:25" x14ac:dyDescent="0.35">
      <c r="A4" s="68" t="s">
        <v>247</v>
      </c>
      <c r="B4" s="46" t="s">
        <v>148</v>
      </c>
      <c r="C4" s="23" t="s">
        <v>150</v>
      </c>
      <c r="D4" s="23" t="s">
        <v>12</v>
      </c>
      <c r="E4" s="71"/>
      <c r="F4" s="46"/>
      <c r="G4" s="23"/>
      <c r="H4" s="23"/>
      <c r="I4" s="71"/>
      <c r="J4" s="35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25" x14ac:dyDescent="0.35">
      <c r="A5" s="69" t="s">
        <v>248</v>
      </c>
      <c r="B5" s="46" t="s">
        <v>38</v>
      </c>
      <c r="C5" s="23">
        <v>200</v>
      </c>
      <c r="D5" s="31" t="s">
        <v>20</v>
      </c>
      <c r="E5" s="71">
        <v>5</v>
      </c>
      <c r="F5" s="46" t="s">
        <v>151</v>
      </c>
      <c r="G5" s="23">
        <v>0.05</v>
      </c>
      <c r="H5" s="23" t="s">
        <v>152</v>
      </c>
      <c r="I5" s="71">
        <v>2E-3</v>
      </c>
      <c r="J5" s="35"/>
      <c r="K5" s="23"/>
      <c r="L5" s="23"/>
      <c r="M5" s="23"/>
      <c r="N5" s="23"/>
      <c r="O5" s="23"/>
      <c r="P5" s="31"/>
      <c r="Q5" s="23"/>
      <c r="R5" s="23"/>
      <c r="S5" s="23"/>
      <c r="T5" s="23"/>
      <c r="U5" s="23"/>
      <c r="V5" s="56"/>
      <c r="W5" s="23"/>
      <c r="X5" s="23"/>
      <c r="Y5" s="73"/>
    </row>
    <row r="6" spans="1:25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25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57BD-F75C-44AB-9BA0-96DBA780176F}">
  <dimension ref="A1:Y7"/>
  <sheetViews>
    <sheetView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6.36328125" bestFit="1" customWidth="1"/>
    <col min="4" max="4" width="5.26953125" bestFit="1" customWidth="1"/>
    <col min="5" max="5" width="9" bestFit="1" customWidth="1"/>
    <col min="6" max="6" width="5.7265625" bestFit="1" customWidth="1"/>
    <col min="7" max="7" width="6.3632812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6.3632812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6.3632812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6.3632812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68" t="s">
        <v>249</v>
      </c>
      <c r="B3" s="46" t="s">
        <v>151</v>
      </c>
      <c r="C3" s="23">
        <v>50</v>
      </c>
      <c r="D3" s="23" t="s">
        <v>153</v>
      </c>
      <c r="E3" s="71">
        <v>2.5</v>
      </c>
      <c r="F3" s="46" t="s">
        <v>154</v>
      </c>
      <c r="G3" s="23">
        <v>1</v>
      </c>
      <c r="H3" s="23" t="s">
        <v>88</v>
      </c>
      <c r="I3" s="71">
        <v>0.05</v>
      </c>
      <c r="J3" s="35" t="s">
        <v>155</v>
      </c>
      <c r="K3" s="23">
        <v>2</v>
      </c>
      <c r="L3" s="23" t="s">
        <v>88</v>
      </c>
      <c r="M3" s="23">
        <v>0.1</v>
      </c>
      <c r="N3" s="23" t="s">
        <v>156</v>
      </c>
      <c r="O3" s="23">
        <v>4</v>
      </c>
      <c r="P3" s="23" t="s">
        <v>88</v>
      </c>
      <c r="Q3" s="23">
        <v>0.1</v>
      </c>
      <c r="R3" s="23" t="s">
        <v>157</v>
      </c>
      <c r="S3" s="23">
        <v>8</v>
      </c>
      <c r="T3" s="23" t="s">
        <v>88</v>
      </c>
      <c r="U3" s="23">
        <v>0.25</v>
      </c>
      <c r="V3" s="56"/>
      <c r="W3" s="23"/>
      <c r="X3" s="23"/>
      <c r="Y3" s="73"/>
    </row>
    <row r="4" spans="1:25" x14ac:dyDescent="0.35">
      <c r="A4" s="68" t="s">
        <v>250</v>
      </c>
      <c r="B4" s="46" t="s">
        <v>151</v>
      </c>
      <c r="C4" s="23">
        <v>100</v>
      </c>
      <c r="D4" s="23" t="s">
        <v>153</v>
      </c>
      <c r="E4" s="71">
        <v>5</v>
      </c>
      <c r="F4" s="46" t="s">
        <v>155</v>
      </c>
      <c r="G4" s="23">
        <v>2</v>
      </c>
      <c r="H4" s="23" t="s">
        <v>88</v>
      </c>
      <c r="I4" s="71">
        <v>0.1</v>
      </c>
      <c r="J4" s="35" t="s">
        <v>156</v>
      </c>
      <c r="K4" s="23">
        <v>5</v>
      </c>
      <c r="L4" s="23" t="s">
        <v>88</v>
      </c>
      <c r="M4" s="23">
        <v>0.1</v>
      </c>
      <c r="N4" s="23" t="s">
        <v>157</v>
      </c>
      <c r="O4" s="23">
        <v>10</v>
      </c>
      <c r="P4" s="23" t="s">
        <v>88</v>
      </c>
      <c r="Q4" s="23">
        <v>0.25</v>
      </c>
      <c r="R4" s="23"/>
      <c r="S4" s="23"/>
      <c r="T4" s="23"/>
      <c r="U4" s="23"/>
      <c r="V4" s="56"/>
      <c r="W4" s="23"/>
      <c r="X4" s="23"/>
      <c r="Y4" s="73"/>
    </row>
    <row r="5" spans="1:25" x14ac:dyDescent="0.35">
      <c r="A5" s="41"/>
      <c r="B5" s="46"/>
      <c r="C5" s="27"/>
      <c r="D5" s="31"/>
      <c r="E5" s="47"/>
      <c r="F5" s="46"/>
      <c r="G5" s="27"/>
      <c r="H5" s="23"/>
      <c r="I5" s="47"/>
      <c r="J5" s="35"/>
      <c r="K5" s="27"/>
      <c r="L5" s="23"/>
      <c r="M5" s="27"/>
      <c r="N5" s="23"/>
      <c r="O5" s="27"/>
      <c r="P5" s="31"/>
      <c r="Q5" s="27"/>
      <c r="R5" s="23"/>
      <c r="S5" s="27"/>
      <c r="T5" s="23"/>
      <c r="U5" s="27"/>
      <c r="V5" s="56"/>
      <c r="W5" s="27"/>
      <c r="X5" s="23"/>
      <c r="Y5" s="57"/>
    </row>
    <row r="6" spans="1:25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25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D177-74A3-4380-AEB1-362AF70237E3}">
  <dimension ref="A1:Y7"/>
  <sheetViews>
    <sheetView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9" bestFit="1" customWidth="1"/>
    <col min="3" max="3" width="16.1796875" bestFit="1" customWidth="1"/>
    <col min="4" max="4" width="5.26953125" bestFit="1" customWidth="1"/>
    <col min="5" max="6" width="9" bestFit="1" customWidth="1"/>
    <col min="7" max="7" width="10" bestFit="1" customWidth="1"/>
    <col min="8" max="8" width="5.26953125" bestFit="1" customWidth="1"/>
    <col min="9" max="9" width="9" bestFit="1" customWidth="1"/>
    <col min="10" max="10" width="5.81640625" bestFit="1" customWidth="1"/>
    <col min="11" max="11" width="7" bestFit="1" customWidth="1"/>
    <col min="12" max="12" width="5.26953125" bestFit="1" customWidth="1"/>
    <col min="13" max="13" width="9" bestFit="1" customWidth="1"/>
    <col min="14" max="15" width="7" bestFit="1" customWidth="1"/>
    <col min="16" max="16" width="5.26953125" bestFit="1" customWidth="1"/>
    <col min="17" max="17" width="9" bestFit="1" customWidth="1"/>
    <col min="18" max="18" width="5.81640625" bestFit="1" customWidth="1"/>
    <col min="19" max="19" width="6.3632812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68" t="s">
        <v>251</v>
      </c>
      <c r="B3" s="46" t="s">
        <v>158</v>
      </c>
      <c r="C3" s="23">
        <v>0.2</v>
      </c>
      <c r="D3" s="23" t="s">
        <v>29</v>
      </c>
      <c r="E3" s="71">
        <v>0.01</v>
      </c>
      <c r="F3" s="46" t="s">
        <v>159</v>
      </c>
      <c r="G3" s="23">
        <v>3</v>
      </c>
      <c r="H3" s="23" t="s">
        <v>160</v>
      </c>
      <c r="I3" s="71">
        <v>0.05</v>
      </c>
      <c r="J3" s="35" t="s">
        <v>161</v>
      </c>
      <c r="K3" s="23">
        <v>-120</v>
      </c>
      <c r="L3" s="23" t="s">
        <v>162</v>
      </c>
      <c r="M3" s="23">
        <v>1</v>
      </c>
      <c r="N3" s="23" t="s">
        <v>163</v>
      </c>
      <c r="O3" s="23">
        <v>0.19600000000000001</v>
      </c>
      <c r="P3" s="23" t="s">
        <v>29</v>
      </c>
      <c r="Q3" s="23">
        <v>0.01</v>
      </c>
      <c r="R3" s="23"/>
      <c r="S3" s="23"/>
      <c r="T3" s="23"/>
      <c r="U3" s="23"/>
      <c r="V3" s="56"/>
      <c r="W3" s="23"/>
      <c r="X3" s="23"/>
      <c r="Y3" s="73"/>
    </row>
    <row r="4" spans="1:25" x14ac:dyDescent="0.35">
      <c r="A4" s="68" t="s">
        <v>252</v>
      </c>
      <c r="B4" s="46" t="s">
        <v>98</v>
      </c>
      <c r="C4" s="23" t="s">
        <v>164</v>
      </c>
      <c r="D4" s="23" t="s">
        <v>12</v>
      </c>
      <c r="E4" s="71"/>
      <c r="F4" s="46" t="s">
        <v>158</v>
      </c>
      <c r="G4" s="23">
        <v>4</v>
      </c>
      <c r="H4" s="23" t="s">
        <v>12</v>
      </c>
      <c r="I4" s="71">
        <v>0.1</v>
      </c>
      <c r="J4" s="35" t="s">
        <v>159</v>
      </c>
      <c r="K4" s="23">
        <v>4</v>
      </c>
      <c r="L4" s="23" t="s">
        <v>165</v>
      </c>
      <c r="M4" s="23">
        <v>0.05</v>
      </c>
      <c r="N4" s="23" t="s">
        <v>166</v>
      </c>
      <c r="O4" s="23">
        <v>0.25</v>
      </c>
      <c r="P4" s="23" t="s">
        <v>167</v>
      </c>
      <c r="Q4" s="23">
        <v>0.01</v>
      </c>
      <c r="R4" s="23" t="s">
        <v>161</v>
      </c>
      <c r="S4" s="23">
        <v>45</v>
      </c>
      <c r="T4" s="23" t="s">
        <v>162</v>
      </c>
      <c r="U4" s="23">
        <v>1</v>
      </c>
      <c r="V4" s="56"/>
      <c r="W4" s="23"/>
      <c r="X4" s="23"/>
      <c r="Y4" s="73"/>
    </row>
    <row r="5" spans="1:25" x14ac:dyDescent="0.35">
      <c r="A5" s="69" t="s">
        <v>253</v>
      </c>
      <c r="B5" s="46" t="s">
        <v>168</v>
      </c>
      <c r="C5" s="23" t="s">
        <v>169</v>
      </c>
      <c r="D5" s="31"/>
      <c r="E5" s="71"/>
      <c r="F5" s="46" t="s">
        <v>170</v>
      </c>
      <c r="G5" s="23">
        <v>0.111111</v>
      </c>
      <c r="H5" s="23" t="s">
        <v>69</v>
      </c>
      <c r="I5" s="71">
        <v>0.01</v>
      </c>
      <c r="J5" s="35"/>
      <c r="K5" s="23"/>
      <c r="L5" s="23"/>
      <c r="M5" s="23"/>
      <c r="N5" s="23"/>
      <c r="O5" s="23"/>
      <c r="P5" s="31"/>
      <c r="Q5" s="23"/>
      <c r="R5" s="23"/>
      <c r="S5" s="23"/>
      <c r="T5" s="23"/>
      <c r="U5" s="23"/>
      <c r="V5" s="56"/>
      <c r="W5" s="23"/>
      <c r="X5" s="23"/>
      <c r="Y5" s="73"/>
    </row>
    <row r="6" spans="1:25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25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9646-195C-415E-9AAD-7E5919A5FE21}">
  <dimension ref="A1:AC7"/>
  <sheetViews>
    <sheetView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20" bestFit="1" customWidth="1"/>
    <col min="4" max="4" width="5.26953125" bestFit="1" customWidth="1"/>
    <col min="5" max="5" width="9" bestFit="1" customWidth="1"/>
    <col min="6" max="6" width="5.7265625" bestFit="1" customWidth="1"/>
    <col min="7" max="7" width="13.632812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11.5429687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12.5429687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8.3632812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11.54296875" bestFit="1" customWidth="1"/>
    <col min="24" max="24" width="5.26953125" bestFit="1" customWidth="1"/>
    <col min="25" max="25" width="9" bestFit="1" customWidth="1"/>
    <col min="26" max="26" width="5.7265625" bestFit="1" customWidth="1"/>
    <col min="27" max="27" width="10.90625" bestFit="1" customWidth="1"/>
    <col min="28" max="28" width="5.26953125" bestFit="1" customWidth="1"/>
    <col min="29" max="29" width="8" bestFit="1" customWidth="1"/>
  </cols>
  <sheetData>
    <row r="1" spans="1:29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  <c r="Z1" s="97" t="s">
        <v>123</v>
      </c>
      <c r="AA1" s="98"/>
      <c r="AB1" s="98"/>
      <c r="AC1" s="99"/>
    </row>
    <row r="2" spans="1:29" ht="29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  <c r="Z2" s="54" t="s">
        <v>2</v>
      </c>
      <c r="AA2" s="26" t="s">
        <v>3</v>
      </c>
      <c r="AB2" s="26" t="s">
        <v>10</v>
      </c>
      <c r="AC2" s="55" t="s">
        <v>4</v>
      </c>
    </row>
    <row r="3" spans="1:29" x14ac:dyDescent="0.35">
      <c r="A3" s="68" t="s">
        <v>254</v>
      </c>
      <c r="B3" s="46" t="s">
        <v>171</v>
      </c>
      <c r="C3" s="23" t="s">
        <v>172</v>
      </c>
      <c r="D3" s="23"/>
      <c r="E3" s="71"/>
      <c r="F3" s="46" t="s">
        <v>173</v>
      </c>
      <c r="G3" s="23" t="s">
        <v>174</v>
      </c>
      <c r="H3" s="23"/>
      <c r="I3" s="71"/>
      <c r="J3" s="35" t="s">
        <v>175</v>
      </c>
      <c r="K3" s="23" t="s">
        <v>176</v>
      </c>
      <c r="L3" s="23"/>
      <c r="M3" s="23"/>
      <c r="N3" s="23" t="s">
        <v>177</v>
      </c>
      <c r="O3" s="23" t="s">
        <v>178</v>
      </c>
      <c r="P3" s="23"/>
      <c r="Q3" s="23"/>
      <c r="R3" s="23" t="s">
        <v>179</v>
      </c>
      <c r="S3" s="23" t="s">
        <v>172</v>
      </c>
      <c r="T3" s="23"/>
      <c r="U3" s="23"/>
      <c r="V3" s="56" t="s">
        <v>180</v>
      </c>
      <c r="W3" s="23" t="s">
        <v>181</v>
      </c>
      <c r="X3" s="23"/>
      <c r="Y3" s="73"/>
      <c r="Z3" t="s">
        <v>182</v>
      </c>
      <c r="AA3" t="s">
        <v>183</v>
      </c>
    </row>
    <row r="4" spans="1:29" x14ac:dyDescent="0.35">
      <c r="A4" s="68" t="s">
        <v>255</v>
      </c>
      <c r="B4" s="46" t="s">
        <v>11</v>
      </c>
      <c r="C4" s="23" t="s">
        <v>184</v>
      </c>
      <c r="D4" s="23"/>
      <c r="E4" s="71"/>
      <c r="F4" s="46" t="s">
        <v>185</v>
      </c>
      <c r="G4" s="23" t="s">
        <v>186</v>
      </c>
      <c r="H4" s="23"/>
      <c r="I4" s="71"/>
      <c r="J4" s="35" t="s">
        <v>151</v>
      </c>
      <c r="K4" s="23">
        <v>1</v>
      </c>
      <c r="L4" s="23"/>
      <c r="M4" s="23">
        <v>0.05</v>
      </c>
      <c r="N4" s="23" t="s">
        <v>187</v>
      </c>
      <c r="O4" s="23" t="s">
        <v>188</v>
      </c>
      <c r="P4" s="23"/>
      <c r="Q4" s="23"/>
      <c r="R4" s="23" t="s">
        <v>189</v>
      </c>
      <c r="S4" s="23" t="s">
        <v>190</v>
      </c>
      <c r="T4" s="23"/>
      <c r="U4" s="23"/>
      <c r="V4" s="56"/>
      <c r="W4" s="23"/>
      <c r="X4" s="23"/>
      <c r="Y4" s="73"/>
    </row>
    <row r="5" spans="1:29" x14ac:dyDescent="0.35">
      <c r="A5" s="69" t="s">
        <v>256</v>
      </c>
      <c r="B5" s="46" t="s">
        <v>13</v>
      </c>
      <c r="C5" s="23" t="s">
        <v>191</v>
      </c>
      <c r="D5" s="31" t="s">
        <v>12</v>
      </c>
      <c r="E5" s="71"/>
      <c r="F5" s="46" t="s">
        <v>14</v>
      </c>
      <c r="G5" s="23" t="s">
        <v>192</v>
      </c>
      <c r="H5" s="23" t="s">
        <v>12</v>
      </c>
      <c r="I5" s="71"/>
      <c r="J5" s="35" t="s">
        <v>193</v>
      </c>
      <c r="K5" s="23" t="s">
        <v>194</v>
      </c>
      <c r="L5" s="23" t="s">
        <v>12</v>
      </c>
      <c r="M5" s="23"/>
      <c r="N5" s="23"/>
      <c r="O5" s="23"/>
      <c r="P5" s="31"/>
      <c r="Q5" s="23"/>
      <c r="R5" s="23"/>
      <c r="S5" s="23"/>
      <c r="T5" s="23"/>
      <c r="U5" s="23"/>
      <c r="V5" s="56"/>
      <c r="W5" s="23"/>
      <c r="X5" s="23"/>
      <c r="Y5" s="73"/>
    </row>
    <row r="6" spans="1:29" x14ac:dyDescent="0.35">
      <c r="A6" s="70" t="s">
        <v>257</v>
      </c>
      <c r="B6" s="48" t="s">
        <v>195</v>
      </c>
      <c r="C6" s="24" t="s">
        <v>196</v>
      </c>
      <c r="D6" s="28" t="s">
        <v>29</v>
      </c>
      <c r="E6" s="72"/>
      <c r="F6" s="48"/>
      <c r="G6" s="24"/>
      <c r="H6" s="24"/>
      <c r="I6" s="72"/>
      <c r="J6" s="36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58"/>
      <c r="W6" s="24"/>
      <c r="X6" s="24"/>
      <c r="Y6" s="74"/>
    </row>
    <row r="7" spans="1:29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7">
    <mergeCell ref="Z1:AC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3027-7CBC-40FA-A6DE-B0EB55E1F2B0}">
  <dimension ref="A1:AG7"/>
  <sheetViews>
    <sheetView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7" bestFit="1" customWidth="1"/>
    <col min="4" max="4" width="5.26953125" bestFit="1" customWidth="1"/>
    <col min="5" max="5" width="9" bestFit="1" customWidth="1"/>
    <col min="6" max="6" width="5.7265625" bestFit="1" customWidth="1"/>
    <col min="7" max="7" width="6.3632812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5.5429687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11.5429687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8.45312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19.90625" bestFit="1" customWidth="1"/>
    <col min="24" max="24" width="5.26953125" bestFit="1" customWidth="1"/>
    <col min="25" max="25" width="9" bestFit="1" customWidth="1"/>
    <col min="26" max="26" width="5.7265625" bestFit="1" customWidth="1"/>
    <col min="27" max="27" width="5.54296875" bestFit="1" customWidth="1"/>
    <col min="28" max="28" width="5.26953125" bestFit="1" customWidth="1"/>
    <col min="29" max="29" width="8" bestFit="1" customWidth="1"/>
    <col min="30" max="30" width="5.7265625" bestFit="1" customWidth="1"/>
    <col min="31" max="31" width="5.54296875" bestFit="1" customWidth="1"/>
    <col min="32" max="32" width="5.26953125" bestFit="1" customWidth="1"/>
    <col min="33" max="33" width="8" bestFit="1" customWidth="1"/>
  </cols>
  <sheetData>
    <row r="1" spans="1:33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  <c r="Z1" s="97" t="s">
        <v>123</v>
      </c>
      <c r="AA1" s="98"/>
      <c r="AB1" s="98"/>
      <c r="AC1" s="99"/>
      <c r="AD1" s="97" t="s">
        <v>124</v>
      </c>
      <c r="AE1" s="98"/>
      <c r="AF1" s="98"/>
      <c r="AG1" s="99"/>
    </row>
    <row r="2" spans="1:33" ht="29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  <c r="Z2" s="54" t="s">
        <v>2</v>
      </c>
      <c r="AA2" s="26" t="s">
        <v>3</v>
      </c>
      <c r="AB2" s="26" t="s">
        <v>10</v>
      </c>
      <c r="AC2" s="55" t="s">
        <v>4</v>
      </c>
      <c r="AD2" s="54" t="s">
        <v>2</v>
      </c>
      <c r="AE2" s="26" t="s">
        <v>3</v>
      </c>
      <c r="AF2" s="26" t="s">
        <v>10</v>
      </c>
      <c r="AG2" s="55" t="s">
        <v>4</v>
      </c>
    </row>
    <row r="3" spans="1:33" x14ac:dyDescent="0.35">
      <c r="A3" s="68" t="s">
        <v>258</v>
      </c>
      <c r="B3" s="46" t="s">
        <v>197</v>
      </c>
      <c r="C3" s="23">
        <v>3</v>
      </c>
      <c r="D3" s="23" t="s">
        <v>11</v>
      </c>
      <c r="E3" s="71">
        <v>0.1</v>
      </c>
      <c r="F3" s="46" t="s">
        <v>198</v>
      </c>
      <c r="G3" s="23" t="s">
        <v>199</v>
      </c>
      <c r="H3" s="23" t="s">
        <v>20</v>
      </c>
      <c r="I3" s="71"/>
      <c r="J3" s="35" t="s">
        <v>200</v>
      </c>
      <c r="K3" s="23" t="s">
        <v>201</v>
      </c>
      <c r="L3" s="23" t="s">
        <v>20</v>
      </c>
      <c r="M3" s="23"/>
      <c r="N3" s="23" t="s">
        <v>56</v>
      </c>
      <c r="O3" s="23" t="s">
        <v>202</v>
      </c>
      <c r="P3" s="23" t="s">
        <v>12</v>
      </c>
      <c r="Q3" s="23"/>
      <c r="R3" s="23" t="s">
        <v>203</v>
      </c>
      <c r="S3" s="23" t="s">
        <v>204</v>
      </c>
      <c r="T3" s="23" t="s">
        <v>20</v>
      </c>
      <c r="U3" s="23"/>
      <c r="V3" s="56" t="s">
        <v>205</v>
      </c>
      <c r="W3" s="23" t="s">
        <v>206</v>
      </c>
      <c r="X3" s="23" t="s">
        <v>12</v>
      </c>
      <c r="Y3" s="73"/>
      <c r="Z3" t="s">
        <v>38</v>
      </c>
      <c r="AA3">
        <v>50</v>
      </c>
      <c r="AB3" t="s">
        <v>20</v>
      </c>
      <c r="AC3">
        <v>1</v>
      </c>
      <c r="AD3" t="s">
        <v>151</v>
      </c>
      <c r="AE3">
        <v>0.57999999999999996</v>
      </c>
      <c r="AF3" t="s">
        <v>153</v>
      </c>
      <c r="AG3">
        <v>0.03</v>
      </c>
    </row>
    <row r="4" spans="1:33" x14ac:dyDescent="0.35">
      <c r="A4" s="68" t="s">
        <v>259</v>
      </c>
      <c r="B4" s="46" t="s">
        <v>56</v>
      </c>
      <c r="C4" s="23">
        <v>-12</v>
      </c>
      <c r="D4" s="23" t="s">
        <v>12</v>
      </c>
      <c r="E4" s="71">
        <v>0.25</v>
      </c>
      <c r="F4" s="46" t="s">
        <v>203</v>
      </c>
      <c r="G4" s="23">
        <v>0</v>
      </c>
      <c r="H4" s="23" t="s">
        <v>20</v>
      </c>
      <c r="I4" s="71">
        <v>0.01</v>
      </c>
      <c r="J4" s="35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33" x14ac:dyDescent="0.35">
      <c r="A5" s="41"/>
      <c r="B5" s="46"/>
      <c r="C5" s="27"/>
      <c r="D5" s="31"/>
      <c r="E5" s="47"/>
      <c r="F5" s="46"/>
      <c r="G5" s="27"/>
      <c r="H5" s="23"/>
      <c r="I5" s="47"/>
      <c r="J5" s="35"/>
      <c r="K5" s="27"/>
      <c r="L5" s="23"/>
      <c r="M5" s="27"/>
      <c r="N5" s="23"/>
      <c r="O5" s="27"/>
      <c r="P5" s="31"/>
      <c r="Q5" s="27"/>
      <c r="R5" s="23"/>
      <c r="S5" s="27"/>
      <c r="T5" s="23"/>
      <c r="U5" s="27"/>
      <c r="V5" s="56"/>
      <c r="W5" s="27"/>
      <c r="X5" s="23"/>
      <c r="Y5" s="57"/>
    </row>
    <row r="6" spans="1:33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33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8">
    <mergeCell ref="Z1:AC1"/>
    <mergeCell ref="AD1:AG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C835-3A4F-4245-8AFA-88900F3839A4}">
  <dimension ref="A1:Y7"/>
  <sheetViews>
    <sheetView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5.7265625" bestFit="1" customWidth="1"/>
    <col min="3" max="3" width="18.26953125" bestFit="1" customWidth="1"/>
    <col min="4" max="4" width="5.26953125" bestFit="1" customWidth="1"/>
    <col min="5" max="5" width="9" bestFit="1" customWidth="1"/>
    <col min="6" max="6" width="5.7265625" bestFit="1" customWidth="1"/>
    <col min="7" max="7" width="5.5429687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5.5429687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5.5429687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5.5429687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68" t="s">
        <v>260</v>
      </c>
      <c r="B3" s="46" t="s">
        <v>207</v>
      </c>
      <c r="C3" s="23" t="s">
        <v>208</v>
      </c>
      <c r="D3" s="23" t="s">
        <v>11</v>
      </c>
      <c r="E3" s="71"/>
      <c r="F3" s="46"/>
      <c r="G3" s="23"/>
      <c r="H3" s="23"/>
      <c r="I3" s="71"/>
      <c r="J3" s="35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56"/>
      <c r="W3" s="23"/>
      <c r="X3" s="23"/>
      <c r="Y3" s="73"/>
    </row>
    <row r="4" spans="1:25" x14ac:dyDescent="0.35">
      <c r="A4" s="68" t="s">
        <v>261</v>
      </c>
      <c r="B4" s="46" t="s">
        <v>195</v>
      </c>
      <c r="C4" s="23" t="s">
        <v>209</v>
      </c>
      <c r="D4" s="23" t="s">
        <v>11</v>
      </c>
      <c r="E4" s="71"/>
      <c r="F4" s="46"/>
      <c r="G4" s="23"/>
      <c r="H4" s="23"/>
      <c r="I4" s="71"/>
      <c r="J4" s="35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25" x14ac:dyDescent="0.35">
      <c r="A5" s="41"/>
      <c r="B5" s="46"/>
      <c r="C5" s="27"/>
      <c r="D5" s="31"/>
      <c r="E5" s="47"/>
      <c r="F5" s="46"/>
      <c r="G5" s="27"/>
      <c r="H5" s="23"/>
      <c r="I5" s="47"/>
      <c r="J5" s="35"/>
      <c r="K5" s="27"/>
      <c r="L5" s="23"/>
      <c r="M5" s="27"/>
      <c r="N5" s="23"/>
      <c r="O5" s="27"/>
      <c r="P5" s="31"/>
      <c r="Q5" s="27"/>
      <c r="R5" s="23"/>
      <c r="S5" s="27"/>
      <c r="T5" s="23"/>
      <c r="U5" s="27"/>
      <c r="V5" s="56"/>
      <c r="W5" s="27"/>
      <c r="X5" s="23"/>
      <c r="Y5" s="57"/>
    </row>
    <row r="6" spans="1:25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25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9FD3-93F5-4F20-AF88-ECB02F2563CE}">
  <dimension ref="A1:Y7"/>
  <sheetViews>
    <sheetView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7.26953125" bestFit="1" customWidth="1"/>
    <col min="3" max="3" width="36.36328125" customWidth="1"/>
    <col min="4" max="4" width="5.26953125" bestFit="1" customWidth="1"/>
    <col min="5" max="5" width="9" bestFit="1" customWidth="1"/>
    <col min="6" max="6" width="7.26953125" bestFit="1" customWidth="1"/>
    <col min="7" max="7" width="18.54296875" bestFit="1" customWidth="1"/>
    <col min="8" max="8" width="5.26953125" bestFit="1" customWidth="1"/>
    <col min="9" max="9" width="9" bestFit="1" customWidth="1"/>
    <col min="10" max="10" width="5.7265625" bestFit="1" customWidth="1"/>
    <col min="11" max="11" width="5.54296875" bestFit="1" customWidth="1"/>
    <col min="12" max="12" width="5.26953125" bestFit="1" customWidth="1"/>
    <col min="13" max="13" width="9" bestFit="1" customWidth="1"/>
    <col min="14" max="14" width="5.7265625" bestFit="1" customWidth="1"/>
    <col min="15" max="15" width="5.54296875" bestFit="1" customWidth="1"/>
    <col min="16" max="16" width="5.26953125" bestFit="1" customWidth="1"/>
    <col min="17" max="17" width="9" bestFit="1" customWidth="1"/>
    <col min="18" max="18" width="5.7265625" bestFit="1" customWidth="1"/>
    <col min="19" max="19" width="5.5429687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5.54296875" bestFit="1" customWidth="1"/>
    <col min="24" max="24" width="5.26953125" bestFit="1" customWidth="1"/>
    <col min="25" max="25" width="9" bestFit="1" customWidth="1"/>
  </cols>
  <sheetData>
    <row r="1" spans="1:25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</row>
    <row r="2" spans="1:25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</row>
    <row r="3" spans="1:25" x14ac:dyDescent="0.35">
      <c r="A3" s="68" t="s">
        <v>262</v>
      </c>
      <c r="B3" s="46" t="s">
        <v>210</v>
      </c>
      <c r="C3" s="23">
        <v>20000</v>
      </c>
      <c r="D3" s="23" t="s">
        <v>211</v>
      </c>
      <c r="E3" s="71">
        <v>200</v>
      </c>
      <c r="F3" s="46"/>
      <c r="G3" s="23"/>
      <c r="H3" s="23"/>
      <c r="I3" s="71"/>
      <c r="J3" s="35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56"/>
      <c r="W3" s="23"/>
      <c r="X3" s="23"/>
      <c r="Y3" s="73"/>
    </row>
    <row r="4" spans="1:25" x14ac:dyDescent="0.35">
      <c r="A4" s="68" t="s">
        <v>263</v>
      </c>
      <c r="B4" s="46" t="s">
        <v>210</v>
      </c>
      <c r="C4" s="23">
        <v>10000</v>
      </c>
      <c r="D4" s="23" t="s">
        <v>211</v>
      </c>
      <c r="E4" s="71">
        <v>100</v>
      </c>
      <c r="F4" s="46"/>
      <c r="G4" s="23"/>
      <c r="H4" s="23"/>
      <c r="I4" s="71"/>
      <c r="J4" s="35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56"/>
      <c r="W4" s="23"/>
      <c r="X4" s="23"/>
      <c r="Y4" s="73"/>
    </row>
    <row r="5" spans="1:25" x14ac:dyDescent="0.35">
      <c r="A5" s="69" t="s">
        <v>264</v>
      </c>
      <c r="B5" s="46" t="s">
        <v>212</v>
      </c>
      <c r="C5" s="23" t="s">
        <v>213</v>
      </c>
      <c r="D5" s="31"/>
      <c r="E5" s="71"/>
      <c r="F5" s="46" t="s">
        <v>210</v>
      </c>
      <c r="G5" s="23" t="s">
        <v>214</v>
      </c>
      <c r="H5" s="23" t="s">
        <v>211</v>
      </c>
      <c r="I5" s="71"/>
      <c r="J5" s="35"/>
      <c r="K5" s="23"/>
      <c r="L5" s="23"/>
      <c r="M5" s="23"/>
      <c r="N5" s="23"/>
      <c r="O5" s="23"/>
      <c r="P5" s="31"/>
      <c r="Q5" s="23"/>
      <c r="R5" s="23"/>
      <c r="S5" s="23"/>
      <c r="T5" s="23"/>
      <c r="U5" s="23"/>
      <c r="V5" s="56"/>
      <c r="W5" s="23"/>
      <c r="X5" s="23"/>
      <c r="Y5" s="73"/>
    </row>
    <row r="6" spans="1:25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25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EA2B-A517-429B-ABDA-6D66F53673F5}">
  <dimension ref="A1:AG7"/>
  <sheetViews>
    <sheetView workbookViewId="0">
      <selection activeCell="T13" sqref="T13"/>
    </sheetView>
  </sheetViews>
  <sheetFormatPr defaultRowHeight="14.5" x14ac:dyDescent="0.35"/>
  <cols>
    <col min="1" max="1" width="7.81640625" bestFit="1" customWidth="1"/>
    <col min="2" max="2" width="7.26953125" bestFit="1" customWidth="1"/>
    <col min="3" max="3" width="6.36328125" bestFit="1" customWidth="1"/>
    <col min="4" max="4" width="5.26953125" bestFit="1" customWidth="1"/>
    <col min="5" max="5" width="9" bestFit="1" customWidth="1"/>
    <col min="6" max="6" width="5.7265625" bestFit="1" customWidth="1"/>
    <col min="7" max="7" width="6.36328125" bestFit="1" customWidth="1"/>
    <col min="8" max="8" width="5.26953125" bestFit="1" customWidth="1"/>
    <col min="9" max="9" width="9" bestFit="1" customWidth="1"/>
    <col min="10" max="10" width="8.54296875" bestFit="1" customWidth="1"/>
    <col min="11" max="11" width="8.36328125" bestFit="1" customWidth="1"/>
    <col min="12" max="12" width="5.26953125" bestFit="1" customWidth="1"/>
    <col min="13" max="13" width="9" bestFit="1" customWidth="1"/>
    <col min="14" max="14" width="8.54296875" bestFit="1" customWidth="1"/>
    <col min="15" max="15" width="9.36328125" bestFit="1" customWidth="1"/>
    <col min="16" max="16" width="5.26953125" bestFit="1" customWidth="1"/>
    <col min="17" max="17" width="9" bestFit="1" customWidth="1"/>
    <col min="18" max="18" width="9.1796875" bestFit="1" customWidth="1"/>
    <col min="19" max="19" width="8.36328125" bestFit="1" customWidth="1"/>
    <col min="20" max="20" width="5.26953125" bestFit="1" customWidth="1"/>
    <col min="21" max="21" width="9" bestFit="1" customWidth="1"/>
    <col min="22" max="22" width="5.7265625" bestFit="1" customWidth="1"/>
    <col min="23" max="23" width="6.36328125" bestFit="1" customWidth="1"/>
    <col min="24" max="24" width="5.26953125" bestFit="1" customWidth="1"/>
    <col min="25" max="25" width="9" bestFit="1" customWidth="1"/>
    <col min="26" max="26" width="5.7265625" bestFit="1" customWidth="1"/>
    <col min="27" max="27" width="5.54296875" bestFit="1" customWidth="1"/>
    <col min="28" max="28" width="5.26953125" bestFit="1" customWidth="1"/>
    <col min="29" max="29" width="8" bestFit="1" customWidth="1"/>
    <col min="30" max="30" width="5.81640625" bestFit="1" customWidth="1"/>
    <col min="31" max="31" width="5.54296875" bestFit="1" customWidth="1"/>
    <col min="32" max="32" width="5.26953125" bestFit="1" customWidth="1"/>
    <col min="33" max="33" width="8" bestFit="1" customWidth="1"/>
  </cols>
  <sheetData>
    <row r="1" spans="1:33" x14ac:dyDescent="0.35">
      <c r="A1" s="38"/>
      <c r="B1" s="90" t="s">
        <v>1</v>
      </c>
      <c r="C1" s="91"/>
      <c r="D1" s="91"/>
      <c r="E1" s="92"/>
      <c r="F1" s="90" t="s">
        <v>7</v>
      </c>
      <c r="G1" s="91"/>
      <c r="H1" s="91"/>
      <c r="I1" s="92"/>
      <c r="J1" s="93" t="s">
        <v>8</v>
      </c>
      <c r="K1" s="94"/>
      <c r="L1" s="94"/>
      <c r="M1" s="95"/>
      <c r="N1" s="96" t="s">
        <v>64</v>
      </c>
      <c r="O1" s="94"/>
      <c r="P1" s="94"/>
      <c r="Q1" s="95"/>
      <c r="R1" s="96" t="s">
        <v>65</v>
      </c>
      <c r="S1" s="94"/>
      <c r="T1" s="94"/>
      <c r="U1" s="95"/>
      <c r="V1" s="87" t="s">
        <v>67</v>
      </c>
      <c r="W1" s="88"/>
      <c r="X1" s="88"/>
      <c r="Y1" s="89"/>
      <c r="Z1" s="97" t="s">
        <v>123</v>
      </c>
      <c r="AA1" s="98"/>
      <c r="AB1" s="98"/>
      <c r="AC1" s="99"/>
      <c r="AD1" s="97" t="s">
        <v>124</v>
      </c>
      <c r="AE1" s="98"/>
      <c r="AF1" s="98"/>
      <c r="AG1" s="99"/>
    </row>
    <row r="2" spans="1:33" ht="29" x14ac:dyDescent="0.35">
      <c r="A2" s="39" t="s">
        <v>0</v>
      </c>
      <c r="B2" s="44" t="s">
        <v>2</v>
      </c>
      <c r="C2" s="26" t="s">
        <v>3</v>
      </c>
      <c r="D2" s="26" t="s">
        <v>10</v>
      </c>
      <c r="E2" s="45" t="s">
        <v>4</v>
      </c>
      <c r="F2" s="44" t="s">
        <v>2</v>
      </c>
      <c r="G2" s="26" t="s">
        <v>3</v>
      </c>
      <c r="H2" s="26" t="s">
        <v>10</v>
      </c>
      <c r="I2" s="45" t="s">
        <v>4</v>
      </c>
      <c r="J2" s="34" t="s">
        <v>2</v>
      </c>
      <c r="K2" s="26" t="s">
        <v>3</v>
      </c>
      <c r="L2" s="26" t="s">
        <v>10</v>
      </c>
      <c r="M2" s="26" t="s">
        <v>4</v>
      </c>
      <c r="N2" s="26" t="s">
        <v>2</v>
      </c>
      <c r="O2" s="26" t="s">
        <v>3</v>
      </c>
      <c r="P2" s="26" t="s">
        <v>10</v>
      </c>
      <c r="Q2" s="26" t="s">
        <v>4</v>
      </c>
      <c r="R2" s="26" t="s">
        <v>2</v>
      </c>
      <c r="S2" s="26" t="s">
        <v>3</v>
      </c>
      <c r="T2" s="26" t="s">
        <v>10</v>
      </c>
      <c r="U2" s="26" t="s">
        <v>4</v>
      </c>
      <c r="V2" s="54" t="s">
        <v>2</v>
      </c>
      <c r="W2" s="26" t="s">
        <v>3</v>
      </c>
      <c r="X2" s="26" t="s">
        <v>10</v>
      </c>
      <c r="Y2" s="55" t="s">
        <v>4</v>
      </c>
      <c r="Z2" s="54" t="s">
        <v>2</v>
      </c>
      <c r="AA2" s="26" t="s">
        <v>3</v>
      </c>
      <c r="AB2" s="26" t="s">
        <v>10</v>
      </c>
      <c r="AC2" s="55" t="s">
        <v>4</v>
      </c>
      <c r="AD2" s="54" t="s">
        <v>2</v>
      </c>
      <c r="AE2" s="26" t="s">
        <v>3</v>
      </c>
      <c r="AF2" s="26" t="s">
        <v>10</v>
      </c>
      <c r="AG2" s="55" t="s">
        <v>4</v>
      </c>
    </row>
    <row r="3" spans="1:33" x14ac:dyDescent="0.35">
      <c r="A3" s="68" t="s">
        <v>265</v>
      </c>
      <c r="B3" s="46" t="s">
        <v>210</v>
      </c>
      <c r="C3" s="23">
        <v>10000</v>
      </c>
      <c r="D3" s="23" t="s">
        <v>211</v>
      </c>
      <c r="E3" s="71">
        <v>100</v>
      </c>
      <c r="F3" s="46" t="s">
        <v>215</v>
      </c>
      <c r="G3" s="23">
        <v>40</v>
      </c>
      <c r="H3" s="23"/>
      <c r="I3" s="71">
        <v>1</v>
      </c>
      <c r="J3" s="35" t="s">
        <v>216</v>
      </c>
      <c r="K3" s="23">
        <v>9875</v>
      </c>
      <c r="L3" s="23" t="s">
        <v>211</v>
      </c>
      <c r="M3" s="23">
        <v>100</v>
      </c>
      <c r="N3" s="23" t="s">
        <v>217</v>
      </c>
      <c r="O3" s="23">
        <v>10125</v>
      </c>
      <c r="P3" s="23" t="s">
        <v>211</v>
      </c>
      <c r="Q3" s="23">
        <v>100</v>
      </c>
      <c r="R3" s="23" t="s">
        <v>218</v>
      </c>
      <c r="S3" s="23" t="s">
        <v>219</v>
      </c>
      <c r="T3" s="23"/>
      <c r="U3" s="23"/>
      <c r="V3" s="56" t="s">
        <v>220</v>
      </c>
      <c r="W3" s="23">
        <v>40</v>
      </c>
      <c r="X3" s="23" t="s">
        <v>221</v>
      </c>
      <c r="Y3" s="73">
        <v>1</v>
      </c>
      <c r="Z3" t="s">
        <v>222</v>
      </c>
      <c r="AA3">
        <v>0.25</v>
      </c>
      <c r="AB3" t="s">
        <v>153</v>
      </c>
      <c r="AC3">
        <v>0.01</v>
      </c>
      <c r="AD3" t="s">
        <v>223</v>
      </c>
      <c r="AE3">
        <v>80</v>
      </c>
      <c r="AG3">
        <v>2</v>
      </c>
    </row>
    <row r="4" spans="1:33" x14ac:dyDescent="0.35">
      <c r="A4" s="68" t="s">
        <v>266</v>
      </c>
      <c r="B4" s="46" t="s">
        <v>210</v>
      </c>
      <c r="C4" s="23">
        <v>500</v>
      </c>
      <c r="D4" s="23" t="s">
        <v>211</v>
      </c>
      <c r="E4" s="71">
        <v>5</v>
      </c>
      <c r="F4" s="46" t="s">
        <v>215</v>
      </c>
      <c r="G4" s="23">
        <v>20</v>
      </c>
      <c r="H4" s="23"/>
      <c r="I4" s="71">
        <v>0.5</v>
      </c>
      <c r="J4" s="35" t="s">
        <v>185</v>
      </c>
      <c r="K4" s="23">
        <v>25</v>
      </c>
      <c r="L4" s="23" t="s">
        <v>211</v>
      </c>
      <c r="M4" s="23">
        <v>1</v>
      </c>
      <c r="N4" s="23" t="s">
        <v>216</v>
      </c>
      <c r="O4" s="23">
        <v>487.5</v>
      </c>
      <c r="P4" s="23" t="s">
        <v>211</v>
      </c>
      <c r="Q4" s="23">
        <v>5</v>
      </c>
      <c r="R4" s="23" t="s">
        <v>217</v>
      </c>
      <c r="S4" s="23">
        <v>512.5</v>
      </c>
      <c r="T4" s="23" t="s">
        <v>211</v>
      </c>
      <c r="U4" s="23">
        <v>5</v>
      </c>
      <c r="V4" s="56"/>
      <c r="W4" s="23"/>
      <c r="X4" s="23"/>
      <c r="Y4" s="73"/>
    </row>
    <row r="5" spans="1:33" x14ac:dyDescent="0.35">
      <c r="A5" s="69" t="s">
        <v>267</v>
      </c>
      <c r="B5" s="46" t="s">
        <v>224</v>
      </c>
      <c r="C5" s="23">
        <v>10</v>
      </c>
      <c r="D5" s="31" t="s">
        <v>221</v>
      </c>
      <c r="E5" s="71">
        <v>0.25</v>
      </c>
      <c r="F5" s="46" t="s">
        <v>151</v>
      </c>
      <c r="G5" s="23">
        <v>0.16</v>
      </c>
      <c r="H5" s="23" t="s">
        <v>153</v>
      </c>
      <c r="I5" s="71">
        <v>0.01</v>
      </c>
      <c r="J5" s="35" t="s">
        <v>38</v>
      </c>
      <c r="K5" s="23">
        <v>25</v>
      </c>
      <c r="L5" s="23" t="s">
        <v>88</v>
      </c>
      <c r="M5" s="23">
        <v>0.5</v>
      </c>
      <c r="N5" s="23"/>
      <c r="O5" s="23"/>
      <c r="P5" s="31"/>
      <c r="Q5" s="23"/>
      <c r="R5" s="23"/>
      <c r="S5" s="23"/>
      <c r="T5" s="23"/>
      <c r="U5" s="23"/>
      <c r="V5" s="56"/>
      <c r="W5" s="23"/>
      <c r="X5" s="23"/>
      <c r="Y5" s="73"/>
    </row>
    <row r="6" spans="1:33" x14ac:dyDescent="0.35">
      <c r="A6" s="42"/>
      <c r="B6" s="48"/>
      <c r="C6" s="25"/>
      <c r="D6" s="28"/>
      <c r="E6" s="49"/>
      <c r="F6" s="48"/>
      <c r="G6" s="25"/>
      <c r="H6" s="24"/>
      <c r="I6" s="49"/>
      <c r="J6" s="36"/>
      <c r="K6" s="25"/>
      <c r="L6" s="24"/>
      <c r="M6" s="25"/>
      <c r="N6" s="24"/>
      <c r="O6" s="25"/>
      <c r="P6" s="24"/>
      <c r="Q6" s="25"/>
      <c r="R6" s="24"/>
      <c r="S6" s="25"/>
      <c r="T6" s="24"/>
      <c r="U6" s="25"/>
      <c r="V6" s="58"/>
      <c r="W6" s="25"/>
      <c r="X6" s="24"/>
      <c r="Y6" s="59"/>
    </row>
    <row r="7" spans="1:33" ht="15" thickBot="1" x14ac:dyDescent="0.4">
      <c r="A7" s="43"/>
      <c r="B7" s="50"/>
      <c r="C7" s="51"/>
      <c r="D7" s="52"/>
      <c r="E7" s="53"/>
      <c r="F7" s="50"/>
      <c r="G7" s="51"/>
      <c r="H7" s="52"/>
      <c r="I7" s="53"/>
      <c r="J7" s="37"/>
      <c r="K7" s="30"/>
      <c r="L7" s="32"/>
      <c r="M7" s="33"/>
      <c r="N7" s="29"/>
      <c r="O7" s="30"/>
      <c r="P7" s="32"/>
      <c r="Q7" s="33"/>
      <c r="R7" s="29"/>
      <c r="S7" s="30"/>
      <c r="T7" s="32"/>
      <c r="U7" s="33"/>
      <c r="V7" s="60"/>
      <c r="W7" s="61"/>
      <c r="X7" s="62"/>
      <c r="Y7" s="63"/>
    </row>
  </sheetData>
  <mergeCells count="8">
    <mergeCell ref="Z1:AC1"/>
    <mergeCell ref="AD1:AG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HW2</vt:lpstr>
      <vt:lpstr>HW3</vt:lpstr>
      <vt:lpstr>HW4</vt:lpstr>
      <vt:lpstr>HW5</vt:lpstr>
      <vt:lpstr>HW6</vt:lpstr>
      <vt:lpstr>HW7</vt:lpstr>
      <vt:lpstr>HW8</vt:lpstr>
      <vt:lpstr>HW9</vt:lpstr>
      <vt:lpstr>HW10</vt:lpstr>
      <vt:lpstr>HW11</vt:lpstr>
      <vt:lpstr>HW12</vt:lpstr>
      <vt:lpstr>HW13</vt:lpstr>
      <vt:lpstr>HW14</vt:lpstr>
      <vt:lpstr>HW15</vt:lpstr>
      <vt:lpstr>HW16</vt:lpstr>
      <vt:lpstr>HW17</vt:lpstr>
      <vt:lpstr>HW18</vt:lpstr>
      <vt:lpstr>HW19</vt:lpstr>
      <vt:lpstr>HW20</vt:lpstr>
      <vt:lpstr>HW21</vt:lpstr>
      <vt:lpstr>HW22</vt:lpstr>
      <vt:lpstr>HW23</vt:lpstr>
      <vt:lpstr>HW24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Rumbaugh, Luke K.</dc:creator>
  <cp:lastModifiedBy>Rumbaugh, Luke K.</cp:lastModifiedBy>
  <dcterms:created xsi:type="dcterms:W3CDTF">2026-05-19T17:26:14Z</dcterms:created>
  <dcterms:modified xsi:type="dcterms:W3CDTF">2026-09-15T12:47:05Z</dcterms:modified>
</cp:coreProperties>
</file>